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A CHYO\Documents\EMANA 2026\AGOSTO 2026\"/>
    </mc:Choice>
  </mc:AlternateContent>
  <bookViews>
    <workbookView xWindow="0" yWindow="0" windowWidth="20460" windowHeight="7500"/>
  </bookViews>
  <sheets>
    <sheet name="INICIO" sheetId="1" r:id="rId1"/>
    <sheet name="PRODUCTOS_STOCK" sheetId="2" r:id="rId2"/>
    <sheet name="MOVIMIENTOS" sheetId="3" r:id="rId3"/>
    <sheet name="CLIENTES" sheetId="4" r:id="rId4"/>
    <sheet name="VENTAS" sheetId="5" r:id="rId5"/>
    <sheet name="VENTAS X UNID" sheetId="8" r:id="rId6"/>
    <sheet name="CONTROL_VENDEDORES" sheetId="6" r:id="rId7"/>
    <sheet name="CONFIGURACION" sheetId="7" r:id="rId8"/>
  </sheets>
  <calcPr calcId="162913"/>
</workbook>
</file>

<file path=xl/calcChain.xml><?xml version="1.0" encoding="utf-8"?>
<calcChain xmlns="http://schemas.openxmlformats.org/spreadsheetml/2006/main">
  <c r="H74" i="1" l="1"/>
  <c r="F67" i="1" l="1"/>
  <c r="H67" i="1"/>
  <c r="I61" i="5" l="1"/>
  <c r="H61" i="5"/>
  <c r="H30" i="1" l="1"/>
  <c r="G61" i="5" l="1"/>
  <c r="K61" i="5" l="1"/>
</calcChain>
</file>

<file path=xl/comments1.xml><?xml version="1.0" encoding="utf-8"?>
<comments xmlns="http://schemas.openxmlformats.org/spreadsheetml/2006/main">
  <authors>
    <author>EMANA CHYO</author>
  </authors>
  <commentList>
    <comment ref="K20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CORTECIA</t>
        </r>
      </text>
    </comment>
    <comment ref="K30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CORTECIA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62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76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83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  <comment ref="F90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351 cajas en buen estado y 5 cajas con defecto y 3 cajas malogradas</t>
        </r>
      </text>
    </comment>
  </commentList>
</comments>
</file>

<file path=xl/comments2.xml><?xml version="1.0" encoding="utf-8"?>
<comments xmlns="http://schemas.openxmlformats.org/spreadsheetml/2006/main">
  <authors>
    <author>EMANA CHYO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27-07-2026 263 UND en la congeladora de 625ml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Actualizao 08-08-26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EMANA CHYO:</t>
        </r>
        <r>
          <rPr>
            <sz val="9"/>
            <color indexed="81"/>
            <rFont val="Tahoma"/>
            <charset val="1"/>
          </rPr>
          <t xml:space="preserve">
ingreso de nuema mercaderia 1220 paquetes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27-07-2026 263 UND en la congeladora de 625ml</t>
        </r>
      </text>
    </comment>
  </commentList>
</comments>
</file>

<file path=xl/comments3.xml><?xml version="1.0" encoding="utf-8"?>
<comments xmlns="http://schemas.openxmlformats.org/spreadsheetml/2006/main">
  <authors>
    <author>EMANA CHYO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cancelado 10-08-2026 daniel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05 pq de 625ml a 11 cada pq 5,00 acuenta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5 CAJAS DE 20 LITROS ACUENTA DEL ARRIENDO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por cancelar jueves 06 de agosto</t>
        </r>
      </text>
    </comment>
    <comment ref="M25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x cobrar sra Rocio emitir boleta</t>
        </r>
      </text>
    </comment>
    <comment ref="M28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x cobrar sra Rocio emitir boleta</t>
        </r>
      </text>
    </comment>
    <comment ref="M30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se cambio 6 botellas de 8,5 l en mal estado por 5 paquetes de 625 ml solo cancelo 14 soles la diferencia</t>
        </r>
      </text>
    </comment>
    <comment ref="K36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por rendir 40 rocio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por cancelar 5 pq la siguiente semana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02 cajas de agua x 20,00</t>
        </r>
      </text>
    </comment>
    <comment ref="M48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Se llevo 01 pq de agua de 20 und mas 02 cajas de agua de 20 l promocionar la marca EMANA en el penal chyo</t>
        </r>
      </text>
    </comment>
  </commentList>
</comments>
</file>

<file path=xl/sharedStrings.xml><?xml version="1.0" encoding="utf-8"?>
<sst xmlns="http://schemas.openxmlformats.org/spreadsheetml/2006/main" count="704" uniqueCount="177">
  <si>
    <t>Indicador</t>
  </si>
  <si>
    <t>Valor</t>
  </si>
  <si>
    <t>Ventas del día</t>
  </si>
  <si>
    <t>Ventas del mes</t>
  </si>
  <si>
    <t>Stock total</t>
  </si>
  <si>
    <t>ID</t>
  </si>
  <si>
    <t>Producto</t>
  </si>
  <si>
    <t>Presentación</t>
  </si>
  <si>
    <t>Stock Actual</t>
  </si>
  <si>
    <t>Stock Mínimo</t>
  </si>
  <si>
    <t>Precio Compra</t>
  </si>
  <si>
    <t>Precio Venta</t>
  </si>
  <si>
    <t>Estado</t>
  </si>
  <si>
    <t>Caja Agua 20 L</t>
  </si>
  <si>
    <t>Caja</t>
  </si>
  <si>
    <t>AG08501</t>
  </si>
  <si>
    <t>Botella Agua 8.5 L</t>
  </si>
  <si>
    <t>Botella</t>
  </si>
  <si>
    <t>AG62501</t>
  </si>
  <si>
    <t>Botella Agua 625 ml</t>
  </si>
  <si>
    <t>Fecha</t>
  </si>
  <si>
    <t>Tipo</t>
  </si>
  <si>
    <t>Documento</t>
  </si>
  <si>
    <t>Cantidad</t>
  </si>
  <si>
    <t>Responsable</t>
  </si>
  <si>
    <t>Observación</t>
  </si>
  <si>
    <t>Código</t>
  </si>
  <si>
    <t>Nombre</t>
  </si>
  <si>
    <t>Dirección</t>
  </si>
  <si>
    <t>Distrito</t>
  </si>
  <si>
    <t>Teléfono</t>
  </si>
  <si>
    <t>Referencia</t>
  </si>
  <si>
    <t>Venta</t>
  </si>
  <si>
    <t>Cliente</t>
  </si>
  <si>
    <t>Vendedor</t>
  </si>
  <si>
    <t>Precio</t>
  </si>
  <si>
    <t>Método Pago</t>
  </si>
  <si>
    <t>Mes</t>
  </si>
  <si>
    <t>Ventas</t>
  </si>
  <si>
    <t>Clientes Atendidos</t>
  </si>
  <si>
    <t>Total Vendido</t>
  </si>
  <si>
    <t>Comisión</t>
  </si>
  <si>
    <t>Meta</t>
  </si>
  <si>
    <t>Cumplimiento</t>
  </si>
  <si>
    <t>Vendedores</t>
  </si>
  <si>
    <t>Métodos de Pago</t>
  </si>
  <si>
    <t>Distritos</t>
  </si>
  <si>
    <t>Stock almacen total</t>
  </si>
  <si>
    <t>AGUA 625 ML</t>
  </si>
  <si>
    <t>AG8501</t>
  </si>
  <si>
    <t>PRODUCTO</t>
  </si>
  <si>
    <t>AGUA 8,5 ML</t>
  </si>
  <si>
    <t>AG2001</t>
  </si>
  <si>
    <t>CAJA 20 L</t>
  </si>
  <si>
    <t>Enbase</t>
  </si>
  <si>
    <t>Fecha Fin</t>
  </si>
  <si>
    <t>Fecha Inic</t>
  </si>
  <si>
    <t>PQ</t>
  </si>
  <si>
    <t>BT</t>
  </si>
  <si>
    <t>CJ</t>
  </si>
  <si>
    <t>fecha inic</t>
  </si>
  <si>
    <t>Fecha fin actu</t>
  </si>
  <si>
    <t>F/B COD</t>
  </si>
  <si>
    <t>PROFORMA</t>
  </si>
  <si>
    <t>CANT</t>
  </si>
  <si>
    <t>Total efectivo</t>
  </si>
  <si>
    <t>Total YAPE/PLIN</t>
  </si>
  <si>
    <t>CONGELADORA</t>
  </si>
  <si>
    <t>UND</t>
  </si>
  <si>
    <t>625ml</t>
  </si>
  <si>
    <t>unidades</t>
  </si>
  <si>
    <t>10 pq</t>
  </si>
  <si>
    <t>Tienda San Ramòn</t>
  </si>
  <si>
    <t>Daniel</t>
  </si>
  <si>
    <t>ID62501</t>
  </si>
  <si>
    <t>plin</t>
  </si>
  <si>
    <t>pendiente</t>
  </si>
  <si>
    <t>05 pq</t>
  </si>
  <si>
    <t>Cevicheria Kevin chyo</t>
  </si>
  <si>
    <t>03 pq</t>
  </si>
  <si>
    <t>Varios</t>
  </si>
  <si>
    <t>Rocio Mejia alle</t>
  </si>
  <si>
    <t>Cancelado</t>
  </si>
  <si>
    <t>Gomez dueño del local</t>
  </si>
  <si>
    <t>05 cajas</t>
  </si>
  <si>
    <t>02 cajas</t>
  </si>
  <si>
    <t>ID2003</t>
  </si>
  <si>
    <t>EQUIVALENTE</t>
  </si>
  <si>
    <t>13 pq + 3 und</t>
  </si>
  <si>
    <t>VENTAS POR UNIDAD AGOSTO 2026</t>
  </si>
  <si>
    <t xml:space="preserve">NOMBRE </t>
  </si>
  <si>
    <t>DANIEL</t>
  </si>
  <si>
    <t>23 pq</t>
  </si>
  <si>
    <t>VENTA DIARIA</t>
  </si>
  <si>
    <t>7 CAJAS</t>
  </si>
  <si>
    <t>AGOSTO 01-08-26</t>
  </si>
  <si>
    <t>40 pq</t>
  </si>
  <si>
    <t>Comercial Yosman</t>
  </si>
  <si>
    <t>Todo golosinas</t>
  </si>
  <si>
    <t>06 pq</t>
  </si>
  <si>
    <t>Librería Rafaela</t>
  </si>
  <si>
    <t>Comercial Franco</t>
  </si>
  <si>
    <t>Tienda Edwin</t>
  </si>
  <si>
    <t>efectivo</t>
  </si>
  <si>
    <t>Edwin amigo</t>
  </si>
  <si>
    <t>02 pq</t>
  </si>
  <si>
    <t>San carlos</t>
  </si>
  <si>
    <t>79 pq</t>
  </si>
  <si>
    <t>AGOSTO 03-08-26</t>
  </si>
  <si>
    <t>8 CAJAS</t>
  </si>
  <si>
    <t>AGOSTO 04-08-26</t>
  </si>
  <si>
    <t>Licoreria Abregu San Ramòn</t>
  </si>
  <si>
    <t>AGOSTO 05-08-26</t>
  </si>
  <si>
    <t>agosto</t>
  </si>
  <si>
    <t>Parque Maria Auxiliadora</t>
  </si>
  <si>
    <t>Por cobrar</t>
  </si>
  <si>
    <t>Parque Miguel Grau</t>
  </si>
  <si>
    <t>Hospedaje Real Madrid</t>
  </si>
  <si>
    <t>Mecanica San Carlos Edwin</t>
  </si>
  <si>
    <t>Mercado el ovalo</t>
  </si>
  <si>
    <t>Restaurante 01 x el hospital</t>
  </si>
  <si>
    <t>Restaurante 02 x el hospital</t>
  </si>
  <si>
    <t>Restaurante 03 x el hospital</t>
  </si>
  <si>
    <t>Jr Callao</t>
  </si>
  <si>
    <t>01 pq</t>
  </si>
  <si>
    <t>06 bt</t>
  </si>
  <si>
    <t>Mayorista al costado de gras maracanito</t>
  </si>
  <si>
    <t>ID8502</t>
  </si>
  <si>
    <t>AGOSTO 06-08-26</t>
  </si>
  <si>
    <t>Bodega al costado del grifo antes de San Ramòn</t>
  </si>
  <si>
    <t>Observado</t>
  </si>
  <si>
    <t>Bodega y Hospedaje Oasis por el ovalo</t>
  </si>
  <si>
    <t>Restaurante al costado de chifa Alfredito</t>
  </si>
  <si>
    <t>Recreo D´ su Merced chyo</t>
  </si>
  <si>
    <t>Rocio</t>
  </si>
  <si>
    <t>AGOSTO 07-08-26</t>
  </si>
  <si>
    <t>AGOSTO 08-08-26</t>
  </si>
  <si>
    <t>Ingreso</t>
  </si>
  <si>
    <t>STOCK AMACEN 2026</t>
  </si>
  <si>
    <t>04 pq</t>
  </si>
  <si>
    <t>AGOSTO 10-08-26</t>
  </si>
  <si>
    <t>13 PQ</t>
  </si>
  <si>
    <t>13 pq</t>
  </si>
  <si>
    <t>ING Eduardo</t>
  </si>
  <si>
    <t>Tienda Clarimed</t>
  </si>
  <si>
    <t>Bodega Sonia</t>
  </si>
  <si>
    <t>San Carlos Vellavista</t>
  </si>
  <si>
    <t>Chanchamayo</t>
  </si>
  <si>
    <t>frente al grifo prink</t>
  </si>
  <si>
    <t>Bodega Zoraida</t>
  </si>
  <si>
    <t>frente al grifo primax</t>
  </si>
  <si>
    <t>Restaurante Ely</t>
  </si>
  <si>
    <t>costado del grifo petro perù</t>
  </si>
  <si>
    <t>Bodega Mary</t>
  </si>
  <si>
    <t>costado del rey de las tolderas</t>
  </si>
  <si>
    <t>Bodega Edubiges</t>
  </si>
  <si>
    <t>Villa Municipal</t>
  </si>
  <si>
    <t>Chifa Merino</t>
  </si>
  <si>
    <t>Bodega Berta</t>
  </si>
  <si>
    <t>espalda del grifo</t>
  </si>
  <si>
    <t>Casa sra Maria</t>
  </si>
  <si>
    <t>Puente San Carlos</t>
  </si>
  <si>
    <t>01 cajas</t>
  </si>
  <si>
    <t>Pichis palcasu</t>
  </si>
  <si>
    <t>AGOSTO 11-08-26</t>
  </si>
  <si>
    <t>Bodega Jr paltales int las mandarinas</t>
  </si>
  <si>
    <t>AGOSTO 12-08-26</t>
  </si>
  <si>
    <t>Restaurat turistico Zapata - San Carlos</t>
  </si>
  <si>
    <t>Bodega serca del penal chyo</t>
  </si>
  <si>
    <t>Chifa Mery - San Carlos</t>
  </si>
  <si>
    <t>Bodega - Maria Auxiliadora</t>
  </si>
  <si>
    <t>Bodega - rio garu calle los elechos</t>
  </si>
  <si>
    <t>Penal ce chyo</t>
  </si>
  <si>
    <t>varios</t>
  </si>
  <si>
    <t>Cevicheri sunami</t>
  </si>
  <si>
    <t>promocionar</t>
  </si>
  <si>
    <t>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</si>
</sst>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24"/>
      <color theme="0"/>
      <name val="Copperplate Gothic Bold"/>
      <family val="2"/>
    </font>
    <font>
      <sz val="16"/>
      <color theme="0"/>
      <name val="Arial Black"/>
      <family val="2"/>
    </font>
    <font>
      <b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3" fillId="3" borderId="0" xfId="0" applyFont="1" applyFill="1"/>
    <xf numFmtId="0" fontId="6" fillId="0" borderId="1" xfId="0" applyFont="1" applyBorder="1"/>
    <xf numFmtId="2" fontId="0" fillId="0" borderId="1" xfId="0" applyNumberFormat="1" applyBorder="1" applyAlignment="1">
      <alignment horizontal="right"/>
    </xf>
    <xf numFmtId="0" fontId="9" fillId="2" borderId="1" xfId="0" applyFont="1" applyFill="1" applyBorder="1"/>
    <xf numFmtId="2" fontId="0" fillId="0" borderId="1" xfId="0" applyNumberFormat="1" applyBorder="1"/>
    <xf numFmtId="0" fontId="11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4" borderId="1" xfId="0" applyFont="1" applyFill="1" applyBorder="1"/>
    <xf numFmtId="0" fontId="1" fillId="2" borderId="1" xfId="0" applyFont="1" applyFill="1" applyBorder="1" applyProtection="1"/>
    <xf numFmtId="0" fontId="9" fillId="2" borderId="1" xfId="0" applyFont="1" applyFill="1" applyBorder="1" applyProtection="1"/>
    <xf numFmtId="0" fontId="3" fillId="10" borderId="1" xfId="0" applyFont="1" applyFill="1" applyBorder="1"/>
    <xf numFmtId="2" fontId="0" fillId="0" borderId="0" xfId="0" applyNumberFormat="1"/>
    <xf numFmtId="2" fontId="3" fillId="3" borderId="0" xfId="0" applyNumberFormat="1" applyFont="1" applyFill="1"/>
    <xf numFmtId="14" fontId="0" fillId="0" borderId="1" xfId="0" applyNumberFormat="1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/>
    <xf numFmtId="0" fontId="4" fillId="0" borderId="1" xfId="0" applyFont="1" applyFill="1" applyBorder="1"/>
    <xf numFmtId="0" fontId="6" fillId="0" borderId="1" xfId="0" applyFont="1" applyFill="1" applyBorder="1"/>
    <xf numFmtId="2" fontId="0" fillId="0" borderId="1" xfId="0" applyNumberFormat="1" applyFill="1" applyBorder="1" applyAlignment="1">
      <alignment horizontal="right"/>
    </xf>
    <xf numFmtId="2" fontId="0" fillId="0" borderId="1" xfId="0" applyNumberFormat="1" applyFill="1" applyBorder="1"/>
    <xf numFmtId="0" fontId="10" fillId="0" borderId="1" xfId="0" applyFont="1" applyFill="1" applyBorder="1"/>
    <xf numFmtId="2" fontId="3" fillId="0" borderId="1" xfId="0" applyNumberFormat="1" applyFont="1" applyFill="1" applyBorder="1"/>
    <xf numFmtId="0" fontId="0" fillId="7" borderId="0" xfId="0" applyFill="1"/>
    <xf numFmtId="0" fontId="15" fillId="0" borderId="1" xfId="0" applyFont="1" applyFill="1" applyBorder="1"/>
    <xf numFmtId="0" fontId="14" fillId="3" borderId="1" xfId="0" applyFont="1" applyFill="1" applyBorder="1"/>
    <xf numFmtId="0" fontId="0" fillId="0" borderId="0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2" fontId="0" fillId="0" borderId="1" xfId="0" applyNumberFormat="1" applyFont="1" applyFill="1" applyBorder="1"/>
    <xf numFmtId="0" fontId="0" fillId="0" borderId="1" xfId="0" applyFont="1" applyFill="1" applyBorder="1"/>
    <xf numFmtId="2" fontId="0" fillId="0" borderId="1" xfId="0" applyNumberFormat="1" applyFont="1" applyFill="1" applyBorder="1" applyAlignment="1">
      <alignment horizontal="right"/>
    </xf>
    <xf numFmtId="2" fontId="3" fillId="6" borderId="1" xfId="0" applyNumberFormat="1" applyFont="1" applyFill="1" applyBorder="1"/>
    <xf numFmtId="0" fontId="0" fillId="9" borderId="1" xfId="0" applyFill="1" applyBorder="1"/>
    <xf numFmtId="0" fontId="0" fillId="8" borderId="1" xfId="0" applyFill="1" applyBorder="1"/>
    <xf numFmtId="0" fontId="0" fillId="13" borderId="1" xfId="0" applyFill="1" applyBorder="1"/>
    <xf numFmtId="0" fontId="3" fillId="14" borderId="1" xfId="0" applyFont="1" applyFill="1" applyBorder="1"/>
    <xf numFmtId="0" fontId="18" fillId="0" borderId="1" xfId="0" applyFont="1" applyFill="1" applyBorder="1"/>
    <xf numFmtId="2" fontId="18" fillId="0" borderId="1" xfId="0" applyNumberFormat="1" applyFont="1" applyFill="1" applyBorder="1" applyAlignment="1">
      <alignment horizontal="right"/>
    </xf>
    <xf numFmtId="2" fontId="18" fillId="0" borderId="1" xfId="0" applyNumberFormat="1" applyFont="1" applyFill="1" applyBorder="1"/>
    <xf numFmtId="0" fontId="3" fillId="15" borderId="1" xfId="0" applyFont="1" applyFill="1" applyBorder="1"/>
    <xf numFmtId="0" fontId="0" fillId="7" borderId="1" xfId="0" applyFont="1" applyFill="1" applyBorder="1"/>
    <xf numFmtId="0" fontId="3" fillId="16" borderId="0" xfId="0" applyFont="1" applyFill="1"/>
    <xf numFmtId="0" fontId="0" fillId="14" borderId="0" xfId="0" applyFont="1" applyFill="1"/>
    <xf numFmtId="0" fontId="0" fillId="17" borderId="1" xfId="0" applyFont="1" applyFill="1" applyBorder="1"/>
    <xf numFmtId="2" fontId="18" fillId="6" borderId="1" xfId="0" applyNumberFormat="1" applyFont="1" applyFill="1" applyBorder="1"/>
    <xf numFmtId="0" fontId="0" fillId="18" borderId="0" xfId="0" applyFont="1" applyFill="1"/>
    <xf numFmtId="0" fontId="11" fillId="0" borderId="1" xfId="0" applyFont="1" applyFill="1" applyBorder="1"/>
    <xf numFmtId="0" fontId="0" fillId="19" borderId="0" xfId="0" applyFont="1" applyFill="1"/>
    <xf numFmtId="17" fontId="12" fillId="4" borderId="0" xfId="0" applyNumberFormat="1" applyFont="1" applyFill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CC00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L90"/>
  <sheetViews>
    <sheetView tabSelected="1" topLeftCell="A70" workbookViewId="0">
      <selection activeCell="M79" sqref="M79"/>
    </sheetView>
  </sheetViews>
  <sheetFormatPr baseColWidth="10" defaultColWidth="9.140625" defaultRowHeight="15" x14ac:dyDescent="0.25"/>
  <cols>
    <col min="3" max="3" width="21.42578125" customWidth="1"/>
    <col min="4" max="4" width="16.42578125" customWidth="1"/>
    <col min="5" max="5" width="12.28515625" customWidth="1"/>
    <col min="6" max="6" width="10.28515625" customWidth="1"/>
    <col min="7" max="7" width="13.28515625" customWidth="1"/>
    <col min="8" max="8" width="10.28515625" customWidth="1"/>
    <col min="10" max="10" width="13.7109375" customWidth="1"/>
    <col min="11" max="11" width="13.85546875" customWidth="1"/>
  </cols>
  <sheetData>
    <row r="1" spans="3:12" x14ac:dyDescent="0.25">
      <c r="C1" s="1" t="s">
        <v>0</v>
      </c>
      <c r="D1" s="1" t="s">
        <v>1</v>
      </c>
      <c r="E1" s="1"/>
    </row>
    <row r="2" spans="3:12" x14ac:dyDescent="0.25">
      <c r="C2" t="s">
        <v>2</v>
      </c>
    </row>
    <row r="3" spans="3:12" x14ac:dyDescent="0.25">
      <c r="C3" t="s">
        <v>3</v>
      </c>
    </row>
    <row r="4" spans="3:12" x14ac:dyDescent="0.25">
      <c r="C4" t="s">
        <v>4</v>
      </c>
    </row>
    <row r="6" spans="3:12" x14ac:dyDescent="0.25">
      <c r="C6" s="64">
        <v>46235</v>
      </c>
    </row>
    <row r="7" spans="3:12" x14ac:dyDescent="0.25">
      <c r="C7" s="64"/>
      <c r="D7" s="8" t="s">
        <v>90</v>
      </c>
    </row>
    <row r="8" spans="3:12" x14ac:dyDescent="0.25">
      <c r="C8" s="8" t="s">
        <v>47</v>
      </c>
      <c r="D8" s="8" t="s">
        <v>91</v>
      </c>
    </row>
    <row r="9" spans="3:12" x14ac:dyDescent="0.25">
      <c r="C9" s="19" t="s">
        <v>5</v>
      </c>
      <c r="D9" s="19" t="s">
        <v>50</v>
      </c>
      <c r="E9" s="20" t="s">
        <v>60</v>
      </c>
      <c r="F9" s="20" t="s">
        <v>64</v>
      </c>
      <c r="G9" s="20" t="s">
        <v>61</v>
      </c>
      <c r="H9" s="20" t="s">
        <v>64</v>
      </c>
      <c r="I9" s="20" t="s">
        <v>62</v>
      </c>
      <c r="J9" s="20" t="s">
        <v>63</v>
      </c>
      <c r="K9" s="41"/>
    </row>
    <row r="10" spans="3:12" x14ac:dyDescent="0.25">
      <c r="C10" s="16" t="s">
        <v>18</v>
      </c>
      <c r="D10" s="16" t="s">
        <v>48</v>
      </c>
      <c r="E10" s="18">
        <v>46235</v>
      </c>
      <c r="F10" s="22">
        <v>272</v>
      </c>
      <c r="G10" s="18">
        <v>46235</v>
      </c>
      <c r="H10" s="21">
        <v>249</v>
      </c>
      <c r="I10" s="17"/>
      <c r="J10" s="17"/>
      <c r="K10" s="41"/>
    </row>
    <row r="11" spans="3:12" x14ac:dyDescent="0.25">
      <c r="C11" s="16" t="s">
        <v>49</v>
      </c>
      <c r="D11" s="16" t="s">
        <v>51</v>
      </c>
      <c r="E11" s="18">
        <v>46235</v>
      </c>
      <c r="F11" s="22">
        <v>143</v>
      </c>
      <c r="G11" s="18">
        <v>46235</v>
      </c>
      <c r="H11" s="21">
        <v>143</v>
      </c>
      <c r="I11" s="17"/>
      <c r="J11" s="17"/>
      <c r="K11" s="41"/>
    </row>
    <row r="12" spans="3:12" x14ac:dyDescent="0.25">
      <c r="C12" s="16" t="s">
        <v>52</v>
      </c>
      <c r="D12" s="16" t="s">
        <v>53</v>
      </c>
      <c r="E12" s="18">
        <v>46235</v>
      </c>
      <c r="F12" s="22">
        <v>381</v>
      </c>
      <c r="G12" s="18">
        <v>46235</v>
      </c>
      <c r="H12" s="21">
        <v>374</v>
      </c>
      <c r="I12" s="17"/>
      <c r="J12" s="17"/>
      <c r="K12" s="41"/>
    </row>
    <row r="13" spans="3:12" x14ac:dyDescent="0.25">
      <c r="L13" s="38"/>
    </row>
    <row r="15" spans="3:12" x14ac:dyDescent="0.25">
      <c r="C15" s="23" t="s">
        <v>95</v>
      </c>
      <c r="D15" s="8" t="s">
        <v>90</v>
      </c>
    </row>
    <row r="16" spans="3:12" x14ac:dyDescent="0.25">
      <c r="C16" s="8" t="s">
        <v>47</v>
      </c>
      <c r="D16" s="8" t="s">
        <v>91</v>
      </c>
    </row>
    <row r="17" spans="3:11" x14ac:dyDescent="0.25">
      <c r="C17" s="19" t="s">
        <v>5</v>
      </c>
      <c r="D17" s="19" t="s">
        <v>50</v>
      </c>
      <c r="E17" s="20" t="s">
        <v>60</v>
      </c>
      <c r="F17" s="20" t="s">
        <v>64</v>
      </c>
      <c r="G17" s="20" t="s">
        <v>61</v>
      </c>
      <c r="H17" s="20" t="s">
        <v>64</v>
      </c>
      <c r="I17" s="20" t="s">
        <v>62</v>
      </c>
      <c r="J17" s="20" t="s">
        <v>63</v>
      </c>
      <c r="K17" s="20" t="s">
        <v>93</v>
      </c>
    </row>
    <row r="18" spans="3:11" x14ac:dyDescent="0.25">
      <c r="C18" s="16" t="s">
        <v>18</v>
      </c>
      <c r="D18" s="16" t="s">
        <v>48</v>
      </c>
      <c r="E18" s="18">
        <v>46235</v>
      </c>
      <c r="F18" s="22">
        <v>272</v>
      </c>
      <c r="G18" s="18">
        <v>46235</v>
      </c>
      <c r="H18" s="21">
        <v>249</v>
      </c>
      <c r="I18" s="17"/>
      <c r="J18" s="17"/>
      <c r="K18" s="15" t="s">
        <v>92</v>
      </c>
    </row>
    <row r="19" spans="3:11" x14ac:dyDescent="0.25">
      <c r="C19" s="16" t="s">
        <v>49</v>
      </c>
      <c r="D19" s="16" t="s">
        <v>51</v>
      </c>
      <c r="E19" s="18">
        <v>46235</v>
      </c>
      <c r="F19" s="22">
        <v>143</v>
      </c>
      <c r="G19" s="18">
        <v>46235</v>
      </c>
      <c r="H19" s="21">
        <v>143</v>
      </c>
      <c r="I19" s="17"/>
      <c r="J19" s="17"/>
      <c r="K19" s="15">
        <v>0</v>
      </c>
    </row>
    <row r="20" spans="3:11" x14ac:dyDescent="0.25">
      <c r="C20" s="16" t="s">
        <v>52</v>
      </c>
      <c r="D20" s="16" t="s">
        <v>53</v>
      </c>
      <c r="E20" s="18">
        <v>46235</v>
      </c>
      <c r="F20" s="22">
        <v>381</v>
      </c>
      <c r="G20" s="18">
        <v>46235</v>
      </c>
      <c r="H20" s="21">
        <v>374</v>
      </c>
      <c r="I20" s="17"/>
      <c r="J20" s="17"/>
      <c r="K20" s="15" t="s">
        <v>94</v>
      </c>
    </row>
    <row r="25" spans="3:11" x14ac:dyDescent="0.25">
      <c r="C25" s="26" t="s">
        <v>108</v>
      </c>
      <c r="D25" s="8" t="s">
        <v>90</v>
      </c>
    </row>
    <row r="26" spans="3:11" x14ac:dyDescent="0.25">
      <c r="C26" s="8" t="s">
        <v>47</v>
      </c>
      <c r="D26" s="8" t="s">
        <v>91</v>
      </c>
    </row>
    <row r="27" spans="3:11" x14ac:dyDescent="0.25">
      <c r="C27" s="19" t="s">
        <v>5</v>
      </c>
      <c r="D27" s="19" t="s">
        <v>50</v>
      </c>
      <c r="E27" s="20" t="s">
        <v>60</v>
      </c>
      <c r="F27" s="20" t="s">
        <v>64</v>
      </c>
      <c r="G27" s="20" t="s">
        <v>61</v>
      </c>
      <c r="H27" s="20" t="s">
        <v>64</v>
      </c>
      <c r="I27" s="20" t="s">
        <v>62</v>
      </c>
      <c r="J27" s="20" t="s">
        <v>63</v>
      </c>
      <c r="K27" s="20" t="s">
        <v>93</v>
      </c>
    </row>
    <row r="28" spans="3:11" x14ac:dyDescent="0.25">
      <c r="C28" s="16" t="s">
        <v>18</v>
      </c>
      <c r="D28" s="16" t="s">
        <v>48</v>
      </c>
      <c r="E28" s="18">
        <v>46237</v>
      </c>
      <c r="F28" s="22">
        <v>249</v>
      </c>
      <c r="G28" s="18"/>
      <c r="H28" s="21">
        <v>170</v>
      </c>
      <c r="I28" s="17"/>
      <c r="J28" s="17"/>
      <c r="K28" s="15" t="s">
        <v>107</v>
      </c>
    </row>
    <row r="29" spans="3:11" x14ac:dyDescent="0.25">
      <c r="C29" s="16" t="s">
        <v>49</v>
      </c>
      <c r="D29" s="16" t="s">
        <v>51</v>
      </c>
      <c r="E29" s="18">
        <v>46237</v>
      </c>
      <c r="F29" s="22">
        <v>143</v>
      </c>
      <c r="G29" s="18"/>
      <c r="H29" s="21">
        <v>142</v>
      </c>
      <c r="I29" s="17"/>
      <c r="J29" s="17"/>
      <c r="K29" s="15">
        <v>0</v>
      </c>
    </row>
    <row r="30" spans="3:11" x14ac:dyDescent="0.25">
      <c r="C30" s="16" t="s">
        <v>52</v>
      </c>
      <c r="D30" s="16" t="s">
        <v>53</v>
      </c>
      <c r="E30" s="18">
        <v>46237</v>
      </c>
      <c r="F30" s="22">
        <v>374</v>
      </c>
      <c r="G30" s="18"/>
      <c r="H30" s="21">
        <f>351+7+8</f>
        <v>366</v>
      </c>
      <c r="I30" s="17"/>
      <c r="J30" s="17"/>
      <c r="K30" s="15" t="s">
        <v>109</v>
      </c>
    </row>
    <row r="35" spans="3:11" x14ac:dyDescent="0.25">
      <c r="C35" s="23" t="s">
        <v>110</v>
      </c>
      <c r="D35" s="8" t="s">
        <v>90</v>
      </c>
    </row>
    <row r="36" spans="3:11" x14ac:dyDescent="0.25">
      <c r="C36" s="8" t="s">
        <v>47</v>
      </c>
      <c r="D36" s="8" t="s">
        <v>91</v>
      </c>
    </row>
    <row r="37" spans="3:11" x14ac:dyDescent="0.25">
      <c r="C37" s="19" t="s">
        <v>5</v>
      </c>
      <c r="D37" s="19" t="s">
        <v>50</v>
      </c>
      <c r="E37" s="20" t="s">
        <v>60</v>
      </c>
      <c r="F37" s="20" t="s">
        <v>64</v>
      </c>
      <c r="G37" s="20" t="s">
        <v>61</v>
      </c>
      <c r="H37" s="20" t="s">
        <v>64</v>
      </c>
      <c r="I37" s="20" t="s">
        <v>62</v>
      </c>
      <c r="J37" s="20" t="s">
        <v>63</v>
      </c>
      <c r="K37" s="20" t="s">
        <v>93</v>
      </c>
    </row>
    <row r="38" spans="3:11" x14ac:dyDescent="0.25">
      <c r="C38" s="16" t="s">
        <v>18</v>
      </c>
      <c r="D38" s="16" t="s">
        <v>48</v>
      </c>
      <c r="E38" s="18">
        <v>46238</v>
      </c>
      <c r="F38" s="22">
        <v>170</v>
      </c>
      <c r="G38" s="18"/>
      <c r="H38" s="21">
        <v>165</v>
      </c>
      <c r="I38" s="17"/>
      <c r="J38" s="17"/>
      <c r="K38" s="15">
        <v>5</v>
      </c>
    </row>
    <row r="39" spans="3:11" x14ac:dyDescent="0.25">
      <c r="C39" s="16" t="s">
        <v>49</v>
      </c>
      <c r="D39" s="16" t="s">
        <v>51</v>
      </c>
      <c r="E39" s="18">
        <v>46238</v>
      </c>
      <c r="F39" s="22">
        <v>142</v>
      </c>
      <c r="G39" s="18"/>
      <c r="H39" s="21">
        <v>142</v>
      </c>
      <c r="I39" s="17"/>
      <c r="J39" s="17"/>
      <c r="K39" s="15"/>
    </row>
    <row r="40" spans="3:11" x14ac:dyDescent="0.25">
      <c r="C40" s="16" t="s">
        <v>52</v>
      </c>
      <c r="D40" s="16" t="s">
        <v>53</v>
      </c>
      <c r="E40" s="18">
        <v>46238</v>
      </c>
      <c r="F40" s="22">
        <v>359</v>
      </c>
      <c r="G40" s="18"/>
      <c r="H40" s="21">
        <v>359</v>
      </c>
      <c r="I40" s="17"/>
      <c r="J40" s="17"/>
      <c r="K40" s="15">
        <v>0</v>
      </c>
    </row>
    <row r="42" spans="3:11" x14ac:dyDescent="0.25">
      <c r="C42" s="23" t="s">
        <v>112</v>
      </c>
      <c r="D42" s="8" t="s">
        <v>90</v>
      </c>
    </row>
    <row r="43" spans="3:11" x14ac:dyDescent="0.25">
      <c r="C43" s="8" t="s">
        <v>47</v>
      </c>
      <c r="D43" s="8" t="s">
        <v>91</v>
      </c>
    </row>
    <row r="44" spans="3:11" x14ac:dyDescent="0.25">
      <c r="C44" s="19" t="s">
        <v>5</v>
      </c>
      <c r="D44" s="19" t="s">
        <v>50</v>
      </c>
      <c r="E44" s="20" t="s">
        <v>60</v>
      </c>
      <c r="F44" s="20" t="s">
        <v>64</v>
      </c>
      <c r="G44" s="20" t="s">
        <v>61</v>
      </c>
      <c r="H44" s="20" t="s">
        <v>64</v>
      </c>
      <c r="I44" s="20" t="s">
        <v>62</v>
      </c>
      <c r="J44" s="20" t="s">
        <v>63</v>
      </c>
      <c r="K44" s="20" t="s">
        <v>93</v>
      </c>
    </row>
    <row r="45" spans="3:11" x14ac:dyDescent="0.25">
      <c r="C45" s="16" t="s">
        <v>18</v>
      </c>
      <c r="D45" s="16" t="s">
        <v>48</v>
      </c>
      <c r="E45" s="18">
        <v>46238</v>
      </c>
      <c r="F45" s="22">
        <v>165</v>
      </c>
      <c r="G45" s="18">
        <v>46239</v>
      </c>
      <c r="H45" s="21">
        <v>135</v>
      </c>
      <c r="I45" s="17"/>
      <c r="J45" s="17"/>
      <c r="K45" s="15">
        <v>30</v>
      </c>
    </row>
    <row r="46" spans="3:11" x14ac:dyDescent="0.25">
      <c r="C46" s="16" t="s">
        <v>49</v>
      </c>
      <c r="D46" s="16" t="s">
        <v>51</v>
      </c>
      <c r="E46" s="18">
        <v>46238</v>
      </c>
      <c r="F46" s="22">
        <v>142</v>
      </c>
      <c r="G46" s="18">
        <v>46239</v>
      </c>
      <c r="H46" s="21">
        <v>133</v>
      </c>
      <c r="I46" s="17"/>
      <c r="J46" s="17"/>
      <c r="K46" s="15">
        <v>9</v>
      </c>
    </row>
    <row r="47" spans="3:11" x14ac:dyDescent="0.25">
      <c r="C47" s="16" t="s">
        <v>52</v>
      </c>
      <c r="D47" s="16" t="s">
        <v>53</v>
      </c>
      <c r="E47" s="18">
        <v>46238</v>
      </c>
      <c r="F47" s="22">
        <v>359</v>
      </c>
      <c r="G47" s="18">
        <v>46239</v>
      </c>
      <c r="H47" s="21">
        <v>351</v>
      </c>
      <c r="I47" s="17"/>
      <c r="J47" s="17"/>
      <c r="K47" s="15">
        <v>8</v>
      </c>
    </row>
    <row r="49" spans="3:11" x14ac:dyDescent="0.25">
      <c r="C49" s="51" t="s">
        <v>128</v>
      </c>
      <c r="D49" s="8" t="s">
        <v>90</v>
      </c>
    </row>
    <row r="50" spans="3:11" x14ac:dyDescent="0.25">
      <c r="C50" s="8" t="s">
        <v>47</v>
      </c>
      <c r="D50" s="8" t="s">
        <v>91</v>
      </c>
    </row>
    <row r="51" spans="3:11" x14ac:dyDescent="0.25">
      <c r="C51" s="19" t="s">
        <v>5</v>
      </c>
      <c r="D51" s="19" t="s">
        <v>50</v>
      </c>
      <c r="E51" s="20" t="s">
        <v>60</v>
      </c>
      <c r="F51" s="20" t="s">
        <v>64</v>
      </c>
      <c r="G51" s="20" t="s">
        <v>61</v>
      </c>
      <c r="H51" s="20" t="s">
        <v>64</v>
      </c>
      <c r="I51" s="20" t="s">
        <v>62</v>
      </c>
      <c r="J51" s="20" t="s">
        <v>63</v>
      </c>
      <c r="K51" s="20" t="s">
        <v>93</v>
      </c>
    </row>
    <row r="52" spans="3:11" x14ac:dyDescent="0.25">
      <c r="C52" s="16" t="s">
        <v>18</v>
      </c>
      <c r="D52" s="16" t="s">
        <v>48</v>
      </c>
      <c r="E52" s="18">
        <v>46238</v>
      </c>
      <c r="F52" s="22">
        <v>135</v>
      </c>
      <c r="G52" s="18">
        <v>46239</v>
      </c>
      <c r="H52" s="21">
        <v>125</v>
      </c>
      <c r="I52" s="17"/>
      <c r="J52" s="17"/>
      <c r="K52" s="15">
        <v>10</v>
      </c>
    </row>
    <row r="53" spans="3:11" x14ac:dyDescent="0.25">
      <c r="C53" s="16" t="s">
        <v>49</v>
      </c>
      <c r="D53" s="16" t="s">
        <v>51</v>
      </c>
      <c r="E53" s="18">
        <v>46238</v>
      </c>
      <c r="F53" s="22">
        <v>133</v>
      </c>
      <c r="G53" s="18">
        <v>46239</v>
      </c>
      <c r="H53" s="21">
        <v>133</v>
      </c>
      <c r="I53" s="17"/>
      <c r="J53" s="17"/>
      <c r="K53" s="15"/>
    </row>
    <row r="54" spans="3:11" x14ac:dyDescent="0.25">
      <c r="C54" s="16" t="s">
        <v>52</v>
      </c>
      <c r="D54" s="16" t="s">
        <v>53</v>
      </c>
      <c r="E54" s="18">
        <v>46238</v>
      </c>
      <c r="F54" s="22">
        <v>351</v>
      </c>
      <c r="G54" s="18">
        <v>46239</v>
      </c>
      <c r="H54" s="21">
        <v>351</v>
      </c>
      <c r="I54" s="17"/>
      <c r="J54" s="17"/>
      <c r="K54" s="15"/>
    </row>
    <row r="57" spans="3:11" x14ac:dyDescent="0.25">
      <c r="C57" s="55" t="s">
        <v>135</v>
      </c>
      <c r="D57" s="8" t="s">
        <v>90</v>
      </c>
    </row>
    <row r="58" spans="3:11" x14ac:dyDescent="0.25">
      <c r="C58" s="8" t="s">
        <v>47</v>
      </c>
      <c r="D58" s="8" t="s">
        <v>91</v>
      </c>
    </row>
    <row r="59" spans="3:11" x14ac:dyDescent="0.25">
      <c r="C59" s="19" t="s">
        <v>5</v>
      </c>
      <c r="D59" s="19" t="s">
        <v>50</v>
      </c>
      <c r="E59" s="20" t="s">
        <v>60</v>
      </c>
      <c r="F59" s="20" t="s">
        <v>64</v>
      </c>
      <c r="G59" s="20" t="s">
        <v>61</v>
      </c>
      <c r="H59" s="20" t="s">
        <v>64</v>
      </c>
      <c r="I59" s="20" t="s">
        <v>62</v>
      </c>
      <c r="J59" s="20" t="s">
        <v>63</v>
      </c>
      <c r="K59" s="20" t="s">
        <v>93</v>
      </c>
    </row>
    <row r="60" spans="3:11" x14ac:dyDescent="0.25">
      <c r="C60" s="16" t="s">
        <v>18</v>
      </c>
      <c r="D60" s="16" t="s">
        <v>48</v>
      </c>
      <c r="E60" s="18">
        <v>46241</v>
      </c>
      <c r="F60" s="22">
        <v>125</v>
      </c>
      <c r="G60" s="18">
        <v>46241</v>
      </c>
      <c r="H60" s="21">
        <v>114</v>
      </c>
      <c r="I60" s="17"/>
      <c r="J60" s="17"/>
      <c r="K60" s="15">
        <v>11</v>
      </c>
    </row>
    <row r="61" spans="3:11" x14ac:dyDescent="0.25">
      <c r="C61" s="16" t="s">
        <v>49</v>
      </c>
      <c r="D61" s="16" t="s">
        <v>51</v>
      </c>
      <c r="E61" s="18">
        <v>46241</v>
      </c>
      <c r="F61" s="22">
        <v>133</v>
      </c>
      <c r="G61" s="18">
        <v>46241</v>
      </c>
      <c r="H61" s="21">
        <v>133</v>
      </c>
      <c r="I61" s="17"/>
      <c r="J61" s="17"/>
      <c r="K61" s="15"/>
    </row>
    <row r="62" spans="3:11" x14ac:dyDescent="0.25">
      <c r="C62" s="16" t="s">
        <v>52</v>
      </c>
      <c r="D62" s="16" t="s">
        <v>53</v>
      </c>
      <c r="E62" s="18">
        <v>46241</v>
      </c>
      <c r="F62" s="22">
        <v>351</v>
      </c>
      <c r="G62" s="18">
        <v>46241</v>
      </c>
      <c r="H62" s="21">
        <v>351</v>
      </c>
      <c r="I62" s="17"/>
      <c r="J62" s="17"/>
      <c r="K62" s="15"/>
    </row>
    <row r="64" spans="3:11" x14ac:dyDescent="0.25">
      <c r="C64" s="56" t="s">
        <v>136</v>
      </c>
      <c r="D64" s="57" t="s">
        <v>90</v>
      </c>
    </row>
    <row r="65" spans="3:11" x14ac:dyDescent="0.25">
      <c r="C65" s="8" t="s">
        <v>47</v>
      </c>
      <c r="D65" s="57" t="s">
        <v>91</v>
      </c>
    </row>
    <row r="66" spans="3:11" x14ac:dyDescent="0.25">
      <c r="C66" s="19" t="s">
        <v>5</v>
      </c>
      <c r="D66" s="19" t="s">
        <v>50</v>
      </c>
      <c r="E66" s="20" t="s">
        <v>60</v>
      </c>
      <c r="F66" s="20" t="s">
        <v>64</v>
      </c>
      <c r="G66" s="20" t="s">
        <v>61</v>
      </c>
      <c r="H66" s="20" t="s">
        <v>64</v>
      </c>
      <c r="I66" s="20" t="s">
        <v>62</v>
      </c>
      <c r="J66" s="20" t="s">
        <v>63</v>
      </c>
      <c r="K66" s="20" t="s">
        <v>93</v>
      </c>
    </row>
    <row r="67" spans="3:11" x14ac:dyDescent="0.25">
      <c r="C67" s="16" t="s">
        <v>18</v>
      </c>
      <c r="D67" s="16" t="s">
        <v>48</v>
      </c>
      <c r="E67" s="18">
        <v>46242</v>
      </c>
      <c r="F67" s="22">
        <f>114+1220</f>
        <v>1334</v>
      </c>
      <c r="G67" s="18">
        <v>46242</v>
      </c>
      <c r="H67" s="21">
        <f>103+1220</f>
        <v>1323</v>
      </c>
      <c r="I67" s="17"/>
      <c r="J67" s="17"/>
      <c r="K67" s="15">
        <v>11</v>
      </c>
    </row>
    <row r="68" spans="3:11" x14ac:dyDescent="0.25">
      <c r="C68" s="16" t="s">
        <v>49</v>
      </c>
      <c r="D68" s="16" t="s">
        <v>51</v>
      </c>
      <c r="E68" s="18">
        <v>46242</v>
      </c>
      <c r="F68" s="22">
        <v>133</v>
      </c>
      <c r="G68" s="18">
        <v>46242</v>
      </c>
      <c r="H68" s="21">
        <v>132</v>
      </c>
      <c r="I68" s="17"/>
      <c r="J68" s="17"/>
      <c r="K68" s="15"/>
    </row>
    <row r="69" spans="3:11" x14ac:dyDescent="0.25">
      <c r="C69" s="16" t="s">
        <v>52</v>
      </c>
      <c r="D69" s="16" t="s">
        <v>53</v>
      </c>
      <c r="E69" s="18">
        <v>46242</v>
      </c>
      <c r="F69" s="22">
        <v>351</v>
      </c>
      <c r="G69" s="18">
        <v>46242</v>
      </c>
      <c r="H69" s="21">
        <v>340</v>
      </c>
      <c r="I69" s="17"/>
      <c r="J69" s="17"/>
      <c r="K69" s="15"/>
    </row>
    <row r="71" spans="3:11" x14ac:dyDescent="0.25">
      <c r="C71" s="59" t="s">
        <v>140</v>
      </c>
      <c r="D71" s="58" t="s">
        <v>90</v>
      </c>
    </row>
    <row r="72" spans="3:11" x14ac:dyDescent="0.25">
      <c r="C72" s="8" t="s">
        <v>47</v>
      </c>
      <c r="D72" s="58" t="s">
        <v>91</v>
      </c>
    </row>
    <row r="73" spans="3:11" x14ac:dyDescent="0.25">
      <c r="C73" s="19" t="s">
        <v>5</v>
      </c>
      <c r="D73" s="19" t="s">
        <v>50</v>
      </c>
      <c r="E73" s="20" t="s">
        <v>60</v>
      </c>
      <c r="F73" s="20" t="s">
        <v>64</v>
      </c>
      <c r="G73" s="20" t="s">
        <v>61</v>
      </c>
      <c r="H73" s="20" t="s">
        <v>64</v>
      </c>
      <c r="I73" s="20" t="s">
        <v>62</v>
      </c>
      <c r="J73" s="20" t="s">
        <v>63</v>
      </c>
      <c r="K73" s="20" t="s">
        <v>93</v>
      </c>
    </row>
    <row r="74" spans="3:11" x14ac:dyDescent="0.25">
      <c r="C74" s="16" t="s">
        <v>18</v>
      </c>
      <c r="D74" s="16" t="s">
        <v>48</v>
      </c>
      <c r="E74" s="18">
        <v>46244</v>
      </c>
      <c r="F74" s="22">
        <v>1323</v>
      </c>
      <c r="G74" s="18">
        <v>46244</v>
      </c>
      <c r="H74" s="21">
        <f>78+1220</f>
        <v>1298</v>
      </c>
      <c r="I74" s="17"/>
      <c r="J74" s="17"/>
      <c r="K74" s="15">
        <v>27</v>
      </c>
    </row>
    <row r="75" spans="3:11" x14ac:dyDescent="0.25">
      <c r="C75" s="16" t="s">
        <v>49</v>
      </c>
      <c r="D75" s="16" t="s">
        <v>51</v>
      </c>
      <c r="E75" s="18">
        <v>46244</v>
      </c>
      <c r="F75" s="22">
        <v>133</v>
      </c>
      <c r="G75" s="18">
        <v>46244</v>
      </c>
      <c r="H75" s="21">
        <v>133</v>
      </c>
      <c r="I75" s="17"/>
      <c r="J75" s="17"/>
      <c r="K75" s="15"/>
    </row>
    <row r="76" spans="3:11" x14ac:dyDescent="0.25">
      <c r="C76" s="16" t="s">
        <v>52</v>
      </c>
      <c r="D76" s="16" t="s">
        <v>53</v>
      </c>
      <c r="E76" s="18">
        <v>46244</v>
      </c>
      <c r="F76" s="22">
        <v>340</v>
      </c>
      <c r="G76" s="18">
        <v>46244</v>
      </c>
      <c r="H76" s="21">
        <v>338</v>
      </c>
      <c r="I76" s="17"/>
      <c r="J76" s="17"/>
      <c r="K76" s="15">
        <v>2</v>
      </c>
    </row>
    <row r="78" spans="3:11" x14ac:dyDescent="0.25">
      <c r="C78" s="56" t="s">
        <v>164</v>
      </c>
      <c r="D78" s="61" t="s">
        <v>90</v>
      </c>
    </row>
    <row r="79" spans="3:11" x14ac:dyDescent="0.25">
      <c r="C79" s="8" t="s">
        <v>47</v>
      </c>
      <c r="D79" s="61" t="s">
        <v>91</v>
      </c>
    </row>
    <row r="80" spans="3:11" x14ac:dyDescent="0.25">
      <c r="C80" s="19" t="s">
        <v>5</v>
      </c>
      <c r="D80" s="19" t="s">
        <v>50</v>
      </c>
      <c r="E80" s="20" t="s">
        <v>60</v>
      </c>
      <c r="F80" s="20" t="s">
        <v>64</v>
      </c>
      <c r="G80" s="20" t="s">
        <v>61</v>
      </c>
      <c r="H80" s="20" t="s">
        <v>64</v>
      </c>
      <c r="I80" s="20" t="s">
        <v>62</v>
      </c>
      <c r="J80" s="20" t="s">
        <v>63</v>
      </c>
      <c r="K80" s="20" t="s">
        <v>93</v>
      </c>
    </row>
    <row r="81" spans="3:11" x14ac:dyDescent="0.25">
      <c r="C81" s="16" t="s">
        <v>18</v>
      </c>
      <c r="D81" s="16" t="s">
        <v>48</v>
      </c>
      <c r="E81" s="18">
        <v>46245</v>
      </c>
      <c r="F81" s="22">
        <v>1298</v>
      </c>
      <c r="G81" s="18">
        <v>46245</v>
      </c>
      <c r="H81" s="21">
        <v>1292</v>
      </c>
      <c r="I81" s="17"/>
      <c r="J81" s="17"/>
      <c r="K81" s="15">
        <v>6</v>
      </c>
    </row>
    <row r="82" spans="3:11" x14ac:dyDescent="0.25">
      <c r="C82" s="16" t="s">
        <v>49</v>
      </c>
      <c r="D82" s="16" t="s">
        <v>51</v>
      </c>
      <c r="E82" s="18">
        <v>46245</v>
      </c>
      <c r="F82" s="22">
        <v>133</v>
      </c>
      <c r="G82" s="18">
        <v>46245</v>
      </c>
      <c r="H82" s="21">
        <v>133</v>
      </c>
      <c r="I82" s="17"/>
      <c r="J82" s="17"/>
      <c r="K82" s="15"/>
    </row>
    <row r="83" spans="3:11" x14ac:dyDescent="0.25">
      <c r="C83" s="16" t="s">
        <v>52</v>
      </c>
      <c r="D83" s="16" t="s">
        <v>53</v>
      </c>
      <c r="E83" s="18">
        <v>46245</v>
      </c>
      <c r="F83" s="22">
        <v>340</v>
      </c>
      <c r="G83" s="18">
        <v>46245</v>
      </c>
      <c r="H83" s="21">
        <v>340</v>
      </c>
      <c r="I83" s="17"/>
      <c r="J83" s="17"/>
      <c r="K83" s="15">
        <v>1</v>
      </c>
    </row>
    <row r="85" spans="3:11" x14ac:dyDescent="0.25">
      <c r="C85" s="56" t="s">
        <v>166</v>
      </c>
      <c r="D85" s="63" t="s">
        <v>90</v>
      </c>
    </row>
    <row r="86" spans="3:11" x14ac:dyDescent="0.25">
      <c r="C86" s="8" t="s">
        <v>47</v>
      </c>
      <c r="D86" s="63" t="s">
        <v>91</v>
      </c>
    </row>
    <row r="87" spans="3:11" x14ac:dyDescent="0.25">
      <c r="C87" s="19" t="s">
        <v>5</v>
      </c>
      <c r="D87" s="19" t="s">
        <v>50</v>
      </c>
      <c r="E87" s="20" t="s">
        <v>60</v>
      </c>
      <c r="F87" s="20" t="s">
        <v>64</v>
      </c>
      <c r="G87" s="20" t="s">
        <v>61</v>
      </c>
      <c r="H87" s="20" t="s">
        <v>64</v>
      </c>
      <c r="I87" s="20" t="s">
        <v>62</v>
      </c>
      <c r="J87" s="20" t="s">
        <v>63</v>
      </c>
      <c r="K87" s="20" t="s">
        <v>93</v>
      </c>
    </row>
    <row r="88" spans="3:11" x14ac:dyDescent="0.25">
      <c r="C88" s="16" t="s">
        <v>18</v>
      </c>
      <c r="D88" s="16" t="s">
        <v>48</v>
      </c>
      <c r="E88" s="18">
        <v>46246</v>
      </c>
      <c r="F88" s="22">
        <v>1292</v>
      </c>
      <c r="G88" s="18">
        <v>46246</v>
      </c>
      <c r="H88" s="21">
        <v>1271</v>
      </c>
      <c r="I88" s="17"/>
      <c r="J88" s="17"/>
      <c r="K88" s="15">
        <v>21</v>
      </c>
    </row>
    <row r="89" spans="3:11" x14ac:dyDescent="0.25">
      <c r="C89" s="16" t="s">
        <v>49</v>
      </c>
      <c r="D89" s="16" t="s">
        <v>51</v>
      </c>
      <c r="E89" s="18">
        <v>46246</v>
      </c>
      <c r="F89" s="22">
        <v>133</v>
      </c>
      <c r="G89" s="18">
        <v>46246</v>
      </c>
      <c r="H89" s="21">
        <v>133</v>
      </c>
      <c r="I89" s="17"/>
      <c r="J89" s="17"/>
      <c r="K89" s="15"/>
    </row>
    <row r="90" spans="3:11" x14ac:dyDescent="0.25">
      <c r="C90" s="16" t="s">
        <v>52</v>
      </c>
      <c r="D90" s="16" t="s">
        <v>53</v>
      </c>
      <c r="E90" s="18">
        <v>46246</v>
      </c>
      <c r="F90" s="22">
        <v>340</v>
      </c>
      <c r="G90" s="18">
        <v>46246</v>
      </c>
      <c r="H90" s="21">
        <v>337</v>
      </c>
      <c r="I90" s="17"/>
      <c r="J90" s="17"/>
      <c r="K90" s="15" t="s">
        <v>176</v>
      </c>
    </row>
  </sheetData>
  <mergeCells count="1">
    <mergeCell ref="C6:C7"/>
  </mergeCell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Views>
    <sheetView workbookViewId="0">
      <selection activeCell="J7" sqref="J7"/>
    </sheetView>
  </sheetViews>
  <sheetFormatPr baseColWidth="10" defaultColWidth="9.140625" defaultRowHeight="15" x14ac:dyDescent="0.25"/>
  <cols>
    <col min="2" max="2" width="19.42578125" customWidth="1"/>
    <col min="3" max="3" width="13.28515625" customWidth="1"/>
    <col min="4" max="5" width="13" customWidth="1"/>
    <col min="6" max="6" width="18.85546875" customWidth="1"/>
    <col min="7" max="7" width="15" customWidth="1"/>
    <col min="8" max="8" width="12.85546875" customWidth="1"/>
  </cols>
  <sheetData>
    <row r="1" spans="1:9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137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x14ac:dyDescent="0.25">
      <c r="A2" s="7" t="s">
        <v>52</v>
      </c>
      <c r="B2" s="7" t="s">
        <v>13</v>
      </c>
      <c r="C2" s="7" t="s">
        <v>14</v>
      </c>
      <c r="D2" s="7">
        <v>391</v>
      </c>
      <c r="E2" s="7"/>
      <c r="F2" s="7">
        <v>20</v>
      </c>
      <c r="G2" s="7">
        <v>18</v>
      </c>
      <c r="H2" s="7">
        <v>20</v>
      </c>
      <c r="I2" s="7"/>
    </row>
    <row r="3" spans="1:9" x14ac:dyDescent="0.25">
      <c r="A3" s="7" t="s">
        <v>15</v>
      </c>
      <c r="B3" s="7" t="s">
        <v>16</v>
      </c>
      <c r="C3" s="7" t="s">
        <v>17</v>
      </c>
      <c r="D3" s="7">
        <v>141</v>
      </c>
      <c r="E3" s="7"/>
      <c r="F3" s="7">
        <v>30</v>
      </c>
      <c r="G3" s="7">
        <v>6</v>
      </c>
      <c r="H3" s="7">
        <v>7</v>
      </c>
      <c r="I3" s="7"/>
    </row>
    <row r="4" spans="1:9" x14ac:dyDescent="0.25">
      <c r="A4" s="7" t="s">
        <v>18</v>
      </c>
      <c r="B4" s="7" t="s">
        <v>19</v>
      </c>
      <c r="C4" s="7" t="s">
        <v>17</v>
      </c>
      <c r="D4" s="7">
        <v>586</v>
      </c>
      <c r="E4" s="7"/>
      <c r="F4" s="7">
        <v>100</v>
      </c>
      <c r="G4" s="7">
        <v>0.8</v>
      </c>
      <c r="H4" s="7">
        <v>1</v>
      </c>
      <c r="I4" s="7"/>
    </row>
    <row r="5" spans="1:9" x14ac:dyDescent="0.25">
      <c r="A5" s="7" t="s">
        <v>18</v>
      </c>
      <c r="B5" s="7" t="s">
        <v>19</v>
      </c>
      <c r="C5" s="7" t="s">
        <v>70</v>
      </c>
      <c r="D5" s="7">
        <v>263</v>
      </c>
      <c r="E5" s="7"/>
      <c r="F5" s="7">
        <v>50</v>
      </c>
      <c r="G5" s="7">
        <v>0.8</v>
      </c>
      <c r="H5" s="7">
        <v>1</v>
      </c>
      <c r="I5" s="7"/>
    </row>
    <row r="7" spans="1:9" x14ac:dyDescent="0.25">
      <c r="A7" s="65" t="s">
        <v>138</v>
      </c>
      <c r="B7" s="65"/>
      <c r="C7" s="8" t="s">
        <v>136</v>
      </c>
      <c r="D7" s="8"/>
    </row>
    <row r="8" spans="1:9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137</v>
      </c>
      <c r="F8" s="2" t="s">
        <v>9</v>
      </c>
      <c r="G8" s="2" t="s">
        <v>10</v>
      </c>
      <c r="H8" s="2" t="s">
        <v>11</v>
      </c>
      <c r="I8" s="2" t="s">
        <v>12</v>
      </c>
    </row>
    <row r="9" spans="1:9" x14ac:dyDescent="0.25">
      <c r="A9" s="7" t="s">
        <v>52</v>
      </c>
      <c r="B9" s="7" t="s">
        <v>13</v>
      </c>
      <c r="C9" s="7" t="s">
        <v>14</v>
      </c>
      <c r="D9" s="7">
        <v>391</v>
      </c>
      <c r="E9" s="7">
        <v>0</v>
      </c>
      <c r="F9" s="7">
        <v>20</v>
      </c>
      <c r="G9" s="7">
        <v>18</v>
      </c>
      <c r="H9" s="7">
        <v>20</v>
      </c>
      <c r="I9" s="7"/>
    </row>
    <row r="10" spans="1:9" x14ac:dyDescent="0.25">
      <c r="A10" s="7" t="s">
        <v>15</v>
      </c>
      <c r="B10" s="7" t="s">
        <v>16</v>
      </c>
      <c r="C10" s="7" t="s">
        <v>17</v>
      </c>
      <c r="D10" s="7">
        <v>141</v>
      </c>
      <c r="E10" s="7">
        <v>0</v>
      </c>
      <c r="F10" s="7">
        <v>30</v>
      </c>
      <c r="G10" s="7">
        <v>6</v>
      </c>
      <c r="H10" s="7">
        <v>7</v>
      </c>
      <c r="I10" s="7"/>
    </row>
    <row r="11" spans="1:9" x14ac:dyDescent="0.25">
      <c r="A11" s="7" t="s">
        <v>18</v>
      </c>
      <c r="B11" s="7" t="s">
        <v>19</v>
      </c>
      <c r="C11" s="7" t="s">
        <v>17</v>
      </c>
      <c r="D11" s="7">
        <v>114</v>
      </c>
      <c r="E11" s="7">
        <v>1220</v>
      </c>
      <c r="F11" s="7">
        <v>100</v>
      </c>
      <c r="G11" s="7">
        <v>0.8</v>
      </c>
      <c r="H11" s="7">
        <v>1</v>
      </c>
      <c r="I11" s="7"/>
    </row>
    <row r="12" spans="1:9" x14ac:dyDescent="0.25">
      <c r="A12" s="7" t="s">
        <v>18</v>
      </c>
      <c r="B12" s="7" t="s">
        <v>19</v>
      </c>
      <c r="C12" s="7" t="s">
        <v>70</v>
      </c>
      <c r="D12" s="7">
        <v>263</v>
      </c>
      <c r="E12" s="7">
        <v>0</v>
      </c>
      <c r="F12" s="7">
        <v>100</v>
      </c>
      <c r="G12" s="7">
        <v>0.8</v>
      </c>
      <c r="H12" s="7">
        <v>1</v>
      </c>
      <c r="I12" s="7"/>
    </row>
  </sheetData>
  <mergeCells count="1">
    <mergeCell ref="A7:B7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K9" sqref="K9"/>
    </sheetView>
  </sheetViews>
  <sheetFormatPr baseColWidth="10" defaultColWidth="9.140625" defaultRowHeight="15" x14ac:dyDescent="0.25"/>
  <cols>
    <col min="1" max="1" width="9.140625" customWidth="1"/>
    <col min="3" max="3" width="13.140625" customWidth="1"/>
    <col min="4" max="4" width="14.140625" customWidth="1"/>
    <col min="5" max="5" width="12.42578125" customWidth="1"/>
    <col min="6" max="6" width="18" customWidth="1"/>
    <col min="7" max="7" width="14.28515625" customWidth="1"/>
  </cols>
  <sheetData>
    <row r="1" spans="1:7" x14ac:dyDescent="0.25">
      <c r="A1" s="2" t="s">
        <v>20</v>
      </c>
      <c r="B1" s="2" t="s">
        <v>21</v>
      </c>
      <c r="C1" s="2" t="s">
        <v>22</v>
      </c>
      <c r="D1" s="2" t="s">
        <v>6</v>
      </c>
      <c r="E1" s="2" t="s">
        <v>23</v>
      </c>
      <c r="F1" s="2" t="s">
        <v>24</v>
      </c>
      <c r="G1" s="2" t="s">
        <v>25</v>
      </c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7"/>
      <c r="B3" s="7"/>
      <c r="C3" s="7"/>
      <c r="D3" s="7"/>
      <c r="E3" s="7"/>
      <c r="F3" s="7"/>
      <c r="G3" s="7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7.85546875" customWidth="1"/>
    <col min="2" max="2" width="17" customWidth="1"/>
    <col min="3" max="3" width="20.28515625" customWidth="1"/>
    <col min="4" max="5" width="13.7109375" customWidth="1"/>
    <col min="6" max="6" width="28.28515625" customWidth="1"/>
    <col min="7" max="8" width="13.7109375" customWidth="1"/>
  </cols>
  <sheetData>
    <row r="1" spans="1:7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25</v>
      </c>
    </row>
    <row r="2" spans="1:7" x14ac:dyDescent="0.25">
      <c r="A2" s="7">
        <v>1</v>
      </c>
      <c r="B2" s="7" t="s">
        <v>145</v>
      </c>
      <c r="C2" s="7" t="s">
        <v>146</v>
      </c>
      <c r="D2" s="7" t="s">
        <v>147</v>
      </c>
      <c r="E2" s="7"/>
      <c r="F2" s="7" t="s">
        <v>148</v>
      </c>
      <c r="G2" s="7"/>
    </row>
    <row r="3" spans="1:7" x14ac:dyDescent="0.25">
      <c r="A3" s="7">
        <v>2</v>
      </c>
      <c r="B3" s="7" t="s">
        <v>149</v>
      </c>
      <c r="C3" s="7" t="s">
        <v>146</v>
      </c>
      <c r="D3" s="7" t="s">
        <v>147</v>
      </c>
      <c r="E3" s="7"/>
      <c r="F3" s="7" t="s">
        <v>150</v>
      </c>
      <c r="G3" s="7"/>
    </row>
    <row r="4" spans="1:7" x14ac:dyDescent="0.25">
      <c r="A4" s="7">
        <v>3</v>
      </c>
      <c r="B4" s="7" t="s">
        <v>151</v>
      </c>
      <c r="C4" s="7" t="s">
        <v>146</v>
      </c>
      <c r="D4" s="7" t="s">
        <v>147</v>
      </c>
      <c r="E4" s="7"/>
      <c r="F4" s="7" t="s">
        <v>152</v>
      </c>
      <c r="G4" s="7"/>
    </row>
    <row r="5" spans="1:7" x14ac:dyDescent="0.25">
      <c r="A5" s="7">
        <v>4</v>
      </c>
      <c r="B5" s="7" t="s">
        <v>153</v>
      </c>
      <c r="C5" s="7" t="s">
        <v>146</v>
      </c>
      <c r="D5" s="7" t="s">
        <v>147</v>
      </c>
      <c r="E5" s="7"/>
      <c r="F5" s="7" t="s">
        <v>154</v>
      </c>
      <c r="G5" s="7"/>
    </row>
    <row r="6" spans="1:7" x14ac:dyDescent="0.25">
      <c r="A6" s="7">
        <v>5</v>
      </c>
      <c r="B6" s="7" t="s">
        <v>155</v>
      </c>
      <c r="C6" s="7" t="s">
        <v>146</v>
      </c>
      <c r="D6" s="7" t="s">
        <v>147</v>
      </c>
      <c r="E6" s="7"/>
      <c r="F6" s="7" t="s">
        <v>156</v>
      </c>
      <c r="G6" s="7"/>
    </row>
    <row r="7" spans="1:7" x14ac:dyDescent="0.25">
      <c r="A7" s="7">
        <v>6</v>
      </c>
      <c r="B7" s="7" t="s">
        <v>157</v>
      </c>
      <c r="C7" s="7" t="s">
        <v>146</v>
      </c>
      <c r="D7" s="7" t="s">
        <v>147</v>
      </c>
      <c r="E7" s="7"/>
      <c r="F7" s="7" t="s">
        <v>152</v>
      </c>
      <c r="G7" s="7"/>
    </row>
    <row r="8" spans="1:7" x14ac:dyDescent="0.25">
      <c r="A8" s="7">
        <v>7</v>
      </c>
      <c r="B8" s="7" t="s">
        <v>158</v>
      </c>
      <c r="C8" s="7" t="s">
        <v>146</v>
      </c>
      <c r="D8" s="7" t="s">
        <v>147</v>
      </c>
      <c r="E8" s="7"/>
      <c r="F8" s="7" t="s">
        <v>159</v>
      </c>
      <c r="G8" s="7"/>
    </row>
    <row r="9" spans="1:7" x14ac:dyDescent="0.25">
      <c r="A9" s="7">
        <v>8</v>
      </c>
      <c r="B9" s="7" t="s">
        <v>160</v>
      </c>
      <c r="C9" s="7" t="s">
        <v>146</v>
      </c>
      <c r="D9" s="7" t="s">
        <v>147</v>
      </c>
      <c r="E9" s="7"/>
      <c r="F9" s="7" t="s">
        <v>161</v>
      </c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1"/>
  <sheetViews>
    <sheetView topLeftCell="A37" zoomScale="90" zoomScaleNormal="90" workbookViewId="0">
      <selection activeCell="H55" sqref="H55"/>
    </sheetView>
  </sheetViews>
  <sheetFormatPr baseColWidth="10" defaultColWidth="9.140625" defaultRowHeight="15" x14ac:dyDescent="0.25"/>
  <cols>
    <col min="1" max="1" width="16.5703125" customWidth="1"/>
    <col min="2" max="2" width="12" customWidth="1"/>
    <col min="3" max="3" width="45.85546875" customWidth="1"/>
    <col min="4" max="4" width="16.5703125" customWidth="1"/>
    <col min="5" max="5" width="11.42578125" customWidth="1"/>
    <col min="6" max="6" width="11.140625" customWidth="1"/>
    <col min="7" max="9" width="5" customWidth="1"/>
    <col min="10" max="10" width="11.5703125" customWidth="1"/>
    <col min="11" max="11" width="13.7109375" customWidth="1"/>
    <col min="12" max="12" width="15.85546875" customWidth="1"/>
    <col min="13" max="13" width="16.5703125" customWidth="1"/>
    <col min="14" max="14" width="14.28515625" customWidth="1"/>
    <col min="15" max="15" width="9.140625" customWidth="1"/>
  </cols>
  <sheetData>
    <row r="1" spans="1:14" x14ac:dyDescent="0.25">
      <c r="A1" s="24" t="s">
        <v>20</v>
      </c>
      <c r="B1" s="24" t="s">
        <v>32</v>
      </c>
      <c r="C1" s="24" t="s">
        <v>33</v>
      </c>
      <c r="D1" s="24" t="s">
        <v>34</v>
      </c>
      <c r="E1" s="24" t="s">
        <v>6</v>
      </c>
      <c r="F1" s="24" t="s">
        <v>23</v>
      </c>
      <c r="G1" s="24" t="s">
        <v>57</v>
      </c>
      <c r="H1" s="24" t="s">
        <v>58</v>
      </c>
      <c r="I1" s="24" t="s">
        <v>59</v>
      </c>
      <c r="J1" s="25" t="s">
        <v>35</v>
      </c>
      <c r="K1" s="24" t="s">
        <v>65</v>
      </c>
      <c r="L1" s="24" t="s">
        <v>66</v>
      </c>
      <c r="M1" s="24" t="s">
        <v>12</v>
      </c>
      <c r="N1" s="24" t="s">
        <v>36</v>
      </c>
    </row>
    <row r="2" spans="1:14" x14ac:dyDescent="0.25">
      <c r="A2" s="29">
        <v>46235</v>
      </c>
      <c r="B2" s="30" t="s">
        <v>71</v>
      </c>
      <c r="C2" s="31" t="s">
        <v>72</v>
      </c>
      <c r="D2" s="5" t="s">
        <v>81</v>
      </c>
      <c r="E2" s="33" t="s">
        <v>74</v>
      </c>
      <c r="F2" s="30" t="s">
        <v>71</v>
      </c>
      <c r="G2" s="30">
        <v>10</v>
      </c>
      <c r="H2" s="30"/>
      <c r="I2" s="30"/>
      <c r="J2" s="34">
        <v>10</v>
      </c>
      <c r="K2" s="44">
        <v>100</v>
      </c>
      <c r="L2" s="35" t="s">
        <v>75</v>
      </c>
      <c r="M2" s="31" t="s">
        <v>82</v>
      </c>
      <c r="N2" s="31" t="s">
        <v>103</v>
      </c>
    </row>
    <row r="3" spans="1:14" x14ac:dyDescent="0.25">
      <c r="A3" s="29">
        <v>46235</v>
      </c>
      <c r="B3" s="30" t="s">
        <v>77</v>
      </c>
      <c r="C3" s="31" t="s">
        <v>78</v>
      </c>
      <c r="D3" s="45" t="s">
        <v>73</v>
      </c>
      <c r="E3" s="33" t="s">
        <v>74</v>
      </c>
      <c r="F3" s="30" t="s">
        <v>77</v>
      </c>
      <c r="G3" s="30">
        <v>5</v>
      </c>
      <c r="H3" s="30"/>
      <c r="I3" s="30"/>
      <c r="J3" s="34">
        <v>10</v>
      </c>
      <c r="K3" s="44">
        <v>50</v>
      </c>
      <c r="L3" s="35" t="s">
        <v>75</v>
      </c>
      <c r="M3" s="31" t="s">
        <v>82</v>
      </c>
      <c r="N3" s="31" t="s">
        <v>103</v>
      </c>
    </row>
    <row r="4" spans="1:14" x14ac:dyDescent="0.25">
      <c r="A4" s="29">
        <v>46235</v>
      </c>
      <c r="B4" s="30" t="s">
        <v>79</v>
      </c>
      <c r="C4" s="31" t="s">
        <v>80</v>
      </c>
      <c r="D4" s="5" t="s">
        <v>81</v>
      </c>
      <c r="E4" s="33" t="s">
        <v>74</v>
      </c>
      <c r="F4" s="30" t="s">
        <v>79</v>
      </c>
      <c r="G4" s="30">
        <v>3</v>
      </c>
      <c r="H4" s="30"/>
      <c r="I4" s="30"/>
      <c r="J4" s="34">
        <v>10</v>
      </c>
      <c r="K4" s="44">
        <v>30</v>
      </c>
      <c r="L4" s="35"/>
      <c r="M4" s="31" t="s">
        <v>82</v>
      </c>
      <c r="N4" s="31" t="s">
        <v>103</v>
      </c>
    </row>
    <row r="5" spans="1:14" x14ac:dyDescent="0.25">
      <c r="A5" s="29">
        <v>46235</v>
      </c>
      <c r="B5" s="30" t="s">
        <v>77</v>
      </c>
      <c r="C5" s="31" t="s">
        <v>83</v>
      </c>
      <c r="D5" s="31" t="s">
        <v>73</v>
      </c>
      <c r="E5" s="33" t="s">
        <v>74</v>
      </c>
      <c r="F5" s="30" t="s">
        <v>77</v>
      </c>
      <c r="G5" s="30">
        <v>5</v>
      </c>
      <c r="H5" s="30"/>
      <c r="I5" s="30"/>
      <c r="J5" s="34">
        <v>11</v>
      </c>
      <c r="K5" s="44">
        <v>5</v>
      </c>
      <c r="L5" s="35"/>
      <c r="M5" s="31" t="s">
        <v>82</v>
      </c>
      <c r="N5" s="31"/>
    </row>
    <row r="6" spans="1:14" x14ac:dyDescent="0.25">
      <c r="A6" s="29">
        <v>46235</v>
      </c>
      <c r="B6" s="39" t="s">
        <v>84</v>
      </c>
      <c r="C6" s="31" t="s">
        <v>83</v>
      </c>
      <c r="D6" s="31" t="s">
        <v>73</v>
      </c>
      <c r="E6" s="33" t="s">
        <v>86</v>
      </c>
      <c r="F6" s="39" t="s">
        <v>84</v>
      </c>
      <c r="G6" s="30"/>
      <c r="H6" s="30"/>
      <c r="I6" s="30">
        <v>5</v>
      </c>
      <c r="J6" s="34">
        <v>0</v>
      </c>
      <c r="K6" s="44">
        <v>0</v>
      </c>
      <c r="L6" s="35"/>
      <c r="M6" s="31" t="s">
        <v>82</v>
      </c>
      <c r="N6" s="31"/>
    </row>
    <row r="7" spans="1:14" x14ac:dyDescent="0.25">
      <c r="A7" s="42">
        <v>46237</v>
      </c>
      <c r="B7" s="39" t="s">
        <v>85</v>
      </c>
      <c r="C7" s="31" t="s">
        <v>104</v>
      </c>
      <c r="D7" s="31" t="s">
        <v>73</v>
      </c>
      <c r="E7" s="33" t="s">
        <v>86</v>
      </c>
      <c r="F7" s="39" t="s">
        <v>85</v>
      </c>
      <c r="G7" s="30"/>
      <c r="H7" s="30"/>
      <c r="I7" s="30">
        <v>2</v>
      </c>
      <c r="J7" s="34">
        <v>10</v>
      </c>
      <c r="K7" s="44">
        <v>0</v>
      </c>
      <c r="L7" s="35"/>
      <c r="M7" s="31" t="s">
        <v>76</v>
      </c>
      <c r="N7" s="31"/>
    </row>
    <row r="8" spans="1:14" x14ac:dyDescent="0.25">
      <c r="A8" s="29">
        <v>46237</v>
      </c>
      <c r="B8" s="30" t="s">
        <v>96</v>
      </c>
      <c r="C8" s="31" t="s">
        <v>97</v>
      </c>
      <c r="D8" s="32" t="s">
        <v>81</v>
      </c>
      <c r="E8" s="33" t="s">
        <v>74</v>
      </c>
      <c r="F8" s="30" t="s">
        <v>96</v>
      </c>
      <c r="G8" s="30">
        <v>40</v>
      </c>
      <c r="H8" s="31"/>
      <c r="I8" s="31"/>
      <c r="J8" s="34">
        <v>9</v>
      </c>
      <c r="K8" s="44">
        <v>360</v>
      </c>
      <c r="L8" s="35"/>
      <c r="M8" s="31" t="s">
        <v>82</v>
      </c>
      <c r="N8" s="31" t="s">
        <v>103</v>
      </c>
    </row>
    <row r="9" spans="1:14" x14ac:dyDescent="0.25">
      <c r="A9" s="43">
        <v>46237</v>
      </c>
      <c r="B9" s="30" t="s">
        <v>71</v>
      </c>
      <c r="C9" s="31" t="s">
        <v>98</v>
      </c>
      <c r="D9" s="31" t="s">
        <v>73</v>
      </c>
      <c r="E9" s="33" t="s">
        <v>74</v>
      </c>
      <c r="F9" s="30" t="s">
        <v>71</v>
      </c>
      <c r="G9" s="30">
        <v>10</v>
      </c>
      <c r="H9" s="31"/>
      <c r="I9" s="31"/>
      <c r="J9" s="34">
        <v>10</v>
      </c>
      <c r="K9" s="44">
        <v>100</v>
      </c>
      <c r="L9" s="35"/>
      <c r="M9" s="31" t="s">
        <v>82</v>
      </c>
      <c r="N9" s="31" t="s">
        <v>103</v>
      </c>
    </row>
    <row r="10" spans="1:14" x14ac:dyDescent="0.25">
      <c r="A10" s="43">
        <v>46237</v>
      </c>
      <c r="B10" s="30" t="s">
        <v>99</v>
      </c>
      <c r="C10" s="31" t="s">
        <v>100</v>
      </c>
      <c r="D10" s="32" t="s">
        <v>81</v>
      </c>
      <c r="E10" s="33" t="s">
        <v>74</v>
      </c>
      <c r="F10" s="30" t="s">
        <v>99</v>
      </c>
      <c r="G10" s="30">
        <v>6</v>
      </c>
      <c r="H10" s="31"/>
      <c r="I10" s="31"/>
      <c r="J10" s="34">
        <v>10</v>
      </c>
      <c r="K10" s="44">
        <v>60</v>
      </c>
      <c r="L10" s="35"/>
      <c r="M10" s="31" t="s">
        <v>82</v>
      </c>
      <c r="N10" s="31" t="s">
        <v>103</v>
      </c>
    </row>
    <row r="11" spans="1:14" x14ac:dyDescent="0.25">
      <c r="A11" s="43">
        <v>46237</v>
      </c>
      <c r="B11" s="30" t="s">
        <v>77</v>
      </c>
      <c r="C11" s="31" t="s">
        <v>101</v>
      </c>
      <c r="D11" s="32" t="s">
        <v>81</v>
      </c>
      <c r="E11" s="33" t="s">
        <v>74</v>
      </c>
      <c r="F11" s="30" t="s">
        <v>77</v>
      </c>
      <c r="G11" s="30">
        <v>5</v>
      </c>
      <c r="H11" s="31"/>
      <c r="I11" s="31"/>
      <c r="J11" s="34">
        <v>10</v>
      </c>
      <c r="K11" s="44">
        <v>50</v>
      </c>
      <c r="L11" s="35"/>
      <c r="M11" s="31" t="s">
        <v>82</v>
      </c>
      <c r="N11" s="31" t="s">
        <v>103</v>
      </c>
    </row>
    <row r="12" spans="1:14" x14ac:dyDescent="0.25">
      <c r="A12" s="43">
        <v>46237</v>
      </c>
      <c r="B12" s="30" t="s">
        <v>77</v>
      </c>
      <c r="C12" s="31" t="s">
        <v>144</v>
      </c>
      <c r="D12" s="32" t="s">
        <v>81</v>
      </c>
      <c r="E12" s="33" t="s">
        <v>74</v>
      </c>
      <c r="F12" s="30" t="s">
        <v>77</v>
      </c>
      <c r="G12" s="30">
        <v>5</v>
      </c>
      <c r="H12" s="30"/>
      <c r="I12" s="30"/>
      <c r="J12" s="34">
        <v>10</v>
      </c>
      <c r="K12" s="44">
        <v>50</v>
      </c>
      <c r="L12" s="35"/>
      <c r="M12" s="31" t="s">
        <v>82</v>
      </c>
      <c r="N12" s="31" t="s">
        <v>103</v>
      </c>
    </row>
    <row r="13" spans="1:14" x14ac:dyDescent="0.25">
      <c r="A13" s="43">
        <v>46237</v>
      </c>
      <c r="B13" s="30" t="s">
        <v>77</v>
      </c>
      <c r="C13" s="31" t="s">
        <v>102</v>
      </c>
      <c r="D13" s="31" t="s">
        <v>73</v>
      </c>
      <c r="E13" s="33" t="s">
        <v>74</v>
      </c>
      <c r="F13" s="30" t="s">
        <v>77</v>
      </c>
      <c r="G13" s="30">
        <v>5</v>
      </c>
      <c r="H13" s="30"/>
      <c r="I13" s="30"/>
      <c r="J13" s="34">
        <v>10</v>
      </c>
      <c r="K13" s="44">
        <v>50</v>
      </c>
      <c r="L13" s="35"/>
      <c r="M13" s="31" t="s">
        <v>82</v>
      </c>
      <c r="N13" s="31" t="s">
        <v>103</v>
      </c>
    </row>
    <row r="14" spans="1:14" x14ac:dyDescent="0.25">
      <c r="A14" s="43">
        <v>46237</v>
      </c>
      <c r="B14" s="30" t="s">
        <v>105</v>
      </c>
      <c r="C14" s="31" t="s">
        <v>106</v>
      </c>
      <c r="D14" s="32" t="s">
        <v>81</v>
      </c>
      <c r="E14" s="33" t="s">
        <v>74</v>
      </c>
      <c r="F14" s="30" t="s">
        <v>105</v>
      </c>
      <c r="G14" s="30">
        <v>2</v>
      </c>
      <c r="H14" s="30"/>
      <c r="I14" s="30"/>
      <c r="J14" s="34">
        <v>10</v>
      </c>
      <c r="K14" s="44">
        <v>20</v>
      </c>
      <c r="L14" s="37"/>
      <c r="M14" s="31" t="s">
        <v>82</v>
      </c>
      <c r="N14" s="31" t="s">
        <v>103</v>
      </c>
    </row>
    <row r="15" spans="1:14" x14ac:dyDescent="0.25">
      <c r="A15" s="29">
        <v>46237</v>
      </c>
      <c r="B15" s="30" t="s">
        <v>99</v>
      </c>
      <c r="C15" s="31" t="s">
        <v>80</v>
      </c>
      <c r="D15" s="32" t="s">
        <v>81</v>
      </c>
      <c r="E15" s="33" t="s">
        <v>74</v>
      </c>
      <c r="F15" s="30" t="s">
        <v>99</v>
      </c>
      <c r="G15" s="30">
        <v>6</v>
      </c>
      <c r="H15" s="30"/>
      <c r="I15" s="30"/>
      <c r="J15" s="34">
        <v>10</v>
      </c>
      <c r="K15" s="44">
        <v>60</v>
      </c>
      <c r="L15" s="37"/>
      <c r="M15" s="31" t="s">
        <v>82</v>
      </c>
      <c r="N15" s="36" t="s">
        <v>103</v>
      </c>
    </row>
    <row r="16" spans="1:14" x14ac:dyDescent="0.25">
      <c r="A16" s="42">
        <v>46238</v>
      </c>
      <c r="B16" s="30" t="s">
        <v>77</v>
      </c>
      <c r="C16" s="31" t="s">
        <v>111</v>
      </c>
      <c r="D16" s="31" t="s">
        <v>73</v>
      </c>
      <c r="E16" s="33" t="s">
        <v>74</v>
      </c>
      <c r="F16" s="30" t="s">
        <v>77</v>
      </c>
      <c r="G16" s="30">
        <v>5</v>
      </c>
      <c r="H16" s="30"/>
      <c r="I16" s="30"/>
      <c r="J16" s="34">
        <v>10</v>
      </c>
      <c r="K16" s="44">
        <v>50</v>
      </c>
      <c r="L16" s="35"/>
      <c r="M16" s="31" t="s">
        <v>82</v>
      </c>
      <c r="N16" s="31" t="s">
        <v>103</v>
      </c>
    </row>
    <row r="17" spans="1:14" x14ac:dyDescent="0.25">
      <c r="A17" s="42">
        <v>46239</v>
      </c>
      <c r="B17" s="30" t="s">
        <v>79</v>
      </c>
      <c r="C17" s="31" t="s">
        <v>114</v>
      </c>
      <c r="D17" s="32" t="s">
        <v>81</v>
      </c>
      <c r="E17" s="33" t="s">
        <v>74</v>
      </c>
      <c r="F17" s="30" t="s">
        <v>79</v>
      </c>
      <c r="G17" s="30">
        <v>3</v>
      </c>
      <c r="H17" s="30"/>
      <c r="I17" s="30">
        <v>1</v>
      </c>
      <c r="J17" s="46">
        <v>10</v>
      </c>
      <c r="K17" s="44">
        <v>30</v>
      </c>
      <c r="L17" s="37"/>
      <c r="M17" s="31" t="s">
        <v>82</v>
      </c>
      <c r="N17" s="31"/>
    </row>
    <row r="18" spans="1:14" x14ac:dyDescent="0.25">
      <c r="A18" s="29">
        <v>46239</v>
      </c>
      <c r="B18" s="30" t="s">
        <v>105</v>
      </c>
      <c r="C18" s="31" t="s">
        <v>116</v>
      </c>
      <c r="D18" s="32" t="s">
        <v>81</v>
      </c>
      <c r="E18" s="33" t="s">
        <v>74</v>
      </c>
      <c r="F18" s="30" t="s">
        <v>105</v>
      </c>
      <c r="G18" s="30">
        <v>2</v>
      </c>
      <c r="H18" s="30">
        <v>1</v>
      </c>
      <c r="I18" s="30"/>
      <c r="J18" s="46">
        <v>10</v>
      </c>
      <c r="K18" s="44">
        <v>20</v>
      </c>
      <c r="L18" s="37"/>
      <c r="M18" s="31" t="s">
        <v>82</v>
      </c>
      <c r="N18" s="31" t="s">
        <v>103</v>
      </c>
    </row>
    <row r="19" spans="1:14" x14ac:dyDescent="0.25">
      <c r="A19" s="29">
        <v>46239</v>
      </c>
      <c r="B19" s="30" t="s">
        <v>79</v>
      </c>
      <c r="C19" s="31" t="s">
        <v>117</v>
      </c>
      <c r="D19" s="32" t="s">
        <v>81</v>
      </c>
      <c r="E19" s="33" t="s">
        <v>74</v>
      </c>
      <c r="F19" s="30" t="s">
        <v>79</v>
      </c>
      <c r="G19" s="30">
        <v>3</v>
      </c>
      <c r="H19" s="31"/>
      <c r="I19" s="31">
        <v>1</v>
      </c>
      <c r="J19" s="46">
        <v>10</v>
      </c>
      <c r="K19" s="44">
        <v>30</v>
      </c>
      <c r="L19" s="37"/>
      <c r="M19" s="31" t="s">
        <v>82</v>
      </c>
      <c r="N19" s="31" t="s">
        <v>103</v>
      </c>
    </row>
    <row r="20" spans="1:14" x14ac:dyDescent="0.25">
      <c r="A20" s="29">
        <v>46239</v>
      </c>
      <c r="B20" s="30" t="s">
        <v>77</v>
      </c>
      <c r="C20" s="31" t="s">
        <v>118</v>
      </c>
      <c r="D20" s="31" t="s">
        <v>73</v>
      </c>
      <c r="E20" s="33" t="s">
        <v>74</v>
      </c>
      <c r="F20" s="30" t="s">
        <v>77</v>
      </c>
      <c r="G20" s="30">
        <v>5</v>
      </c>
      <c r="H20" s="31"/>
      <c r="I20" s="31">
        <v>1</v>
      </c>
      <c r="J20" s="46">
        <v>10</v>
      </c>
      <c r="K20" s="44">
        <v>50</v>
      </c>
      <c r="L20" s="37"/>
      <c r="M20" s="31" t="s">
        <v>82</v>
      </c>
      <c r="N20" s="31" t="s">
        <v>103</v>
      </c>
    </row>
    <row r="21" spans="1:14" x14ac:dyDescent="0.25">
      <c r="A21" s="29">
        <v>46239</v>
      </c>
      <c r="B21" s="30" t="s">
        <v>77</v>
      </c>
      <c r="C21" s="31" t="s">
        <v>119</v>
      </c>
      <c r="D21" s="32" t="s">
        <v>81</v>
      </c>
      <c r="E21" s="33" t="s">
        <v>74</v>
      </c>
      <c r="F21" s="30" t="s">
        <v>77</v>
      </c>
      <c r="G21" s="30">
        <v>5</v>
      </c>
      <c r="H21" s="31"/>
      <c r="I21" s="31">
        <v>2</v>
      </c>
      <c r="J21" s="46">
        <v>10</v>
      </c>
      <c r="K21" s="44">
        <v>50</v>
      </c>
      <c r="L21" s="35"/>
      <c r="M21" s="31" t="s">
        <v>82</v>
      </c>
      <c r="N21" s="31" t="s">
        <v>103</v>
      </c>
    </row>
    <row r="22" spans="1:14" x14ac:dyDescent="0.25">
      <c r="A22" s="29">
        <v>46239</v>
      </c>
      <c r="B22" s="30" t="s">
        <v>105</v>
      </c>
      <c r="C22" s="31" t="s">
        <v>120</v>
      </c>
      <c r="D22" s="32" t="s">
        <v>81</v>
      </c>
      <c r="E22" s="33" t="s">
        <v>74</v>
      </c>
      <c r="F22" s="30" t="s">
        <v>105</v>
      </c>
      <c r="G22" s="30">
        <v>2</v>
      </c>
      <c r="H22" s="30"/>
      <c r="I22" s="30">
        <v>1</v>
      </c>
      <c r="J22" s="46">
        <v>10</v>
      </c>
      <c r="K22" s="44">
        <v>20</v>
      </c>
      <c r="L22" s="35"/>
      <c r="M22" s="31" t="s">
        <v>82</v>
      </c>
      <c r="N22" s="31" t="s">
        <v>103</v>
      </c>
    </row>
    <row r="23" spans="1:14" x14ac:dyDescent="0.25">
      <c r="A23" s="29">
        <v>46239</v>
      </c>
      <c r="B23" s="30" t="s">
        <v>105</v>
      </c>
      <c r="C23" s="31" t="s">
        <v>121</v>
      </c>
      <c r="D23" s="32" t="s">
        <v>81</v>
      </c>
      <c r="E23" s="33" t="s">
        <v>74</v>
      </c>
      <c r="F23" s="30" t="s">
        <v>105</v>
      </c>
      <c r="G23" s="30">
        <v>2</v>
      </c>
      <c r="H23" s="30">
        <v>1</v>
      </c>
      <c r="I23" s="30"/>
      <c r="J23" s="46">
        <v>10</v>
      </c>
      <c r="K23" s="44">
        <v>20</v>
      </c>
      <c r="L23" s="35"/>
      <c r="M23" s="31" t="s">
        <v>82</v>
      </c>
      <c r="N23" s="31" t="s">
        <v>103</v>
      </c>
    </row>
    <row r="24" spans="1:14" x14ac:dyDescent="0.25">
      <c r="A24" s="29">
        <v>46239</v>
      </c>
      <c r="B24" s="30" t="s">
        <v>105</v>
      </c>
      <c r="C24" s="31" t="s">
        <v>122</v>
      </c>
      <c r="D24" s="32" t="s">
        <v>81</v>
      </c>
      <c r="E24" s="33" t="s">
        <v>74</v>
      </c>
      <c r="F24" s="30" t="s">
        <v>105</v>
      </c>
      <c r="G24" s="30">
        <v>2</v>
      </c>
      <c r="H24" s="30">
        <v>1</v>
      </c>
      <c r="I24" s="30"/>
      <c r="J24" s="34">
        <v>10</v>
      </c>
      <c r="K24" s="44">
        <v>20</v>
      </c>
      <c r="L24" s="35"/>
      <c r="M24" s="31" t="s">
        <v>82</v>
      </c>
      <c r="N24" s="31" t="s">
        <v>103</v>
      </c>
    </row>
    <row r="25" spans="1:14" x14ac:dyDescent="0.25">
      <c r="A25" s="29">
        <v>46239</v>
      </c>
      <c r="B25" s="30" t="s">
        <v>79</v>
      </c>
      <c r="C25" s="31" t="s">
        <v>119</v>
      </c>
      <c r="D25" s="32" t="s">
        <v>81</v>
      </c>
      <c r="E25" s="33" t="s">
        <v>74</v>
      </c>
      <c r="F25" s="30" t="s">
        <v>79</v>
      </c>
      <c r="G25" s="30">
        <v>3</v>
      </c>
      <c r="H25" s="30"/>
      <c r="I25" s="30">
        <v>1</v>
      </c>
      <c r="J25" s="34">
        <v>10</v>
      </c>
      <c r="K25" s="44">
        <v>30</v>
      </c>
      <c r="L25" s="35"/>
      <c r="M25" s="31" t="s">
        <v>82</v>
      </c>
      <c r="N25" s="31" t="s">
        <v>103</v>
      </c>
    </row>
    <row r="26" spans="1:14" x14ac:dyDescent="0.25">
      <c r="A26" s="29">
        <v>46239</v>
      </c>
      <c r="B26" s="30" t="s">
        <v>105</v>
      </c>
      <c r="C26" s="31" t="s">
        <v>123</v>
      </c>
      <c r="D26" s="31" t="s">
        <v>73</v>
      </c>
      <c r="E26" s="33" t="s">
        <v>74</v>
      </c>
      <c r="F26" s="30" t="s">
        <v>105</v>
      </c>
      <c r="G26" s="30">
        <v>2</v>
      </c>
      <c r="H26" s="30"/>
      <c r="I26" s="30"/>
      <c r="J26" s="34">
        <v>10</v>
      </c>
      <c r="K26" s="44">
        <v>20</v>
      </c>
      <c r="L26" s="35"/>
      <c r="M26" s="31" t="s">
        <v>82</v>
      </c>
      <c r="N26" s="31" t="s">
        <v>103</v>
      </c>
    </row>
    <row r="27" spans="1:14" x14ac:dyDescent="0.25">
      <c r="A27" s="29">
        <v>46239</v>
      </c>
      <c r="B27" s="30" t="s">
        <v>124</v>
      </c>
      <c r="C27" s="31" t="s">
        <v>80</v>
      </c>
      <c r="D27" s="32" t="s">
        <v>81</v>
      </c>
      <c r="E27" s="33" t="s">
        <v>74</v>
      </c>
      <c r="F27" s="30" t="s">
        <v>124</v>
      </c>
      <c r="G27" s="30">
        <v>1</v>
      </c>
      <c r="H27" s="30"/>
      <c r="I27" s="30"/>
      <c r="J27" s="34">
        <v>10</v>
      </c>
      <c r="K27" s="44">
        <v>10</v>
      </c>
      <c r="L27" s="35"/>
      <c r="M27" s="31" t="s">
        <v>82</v>
      </c>
      <c r="N27" s="31" t="s">
        <v>103</v>
      </c>
    </row>
    <row r="28" spans="1:14" x14ac:dyDescent="0.25">
      <c r="A28" s="29">
        <v>46239</v>
      </c>
      <c r="B28" s="30" t="s">
        <v>125</v>
      </c>
      <c r="C28" s="31" t="s">
        <v>126</v>
      </c>
      <c r="D28" s="45" t="s">
        <v>73</v>
      </c>
      <c r="E28" s="33" t="s">
        <v>127</v>
      </c>
      <c r="F28" s="30" t="s">
        <v>125</v>
      </c>
      <c r="G28" s="30"/>
      <c r="H28" s="30">
        <v>6</v>
      </c>
      <c r="I28" s="30"/>
      <c r="J28" s="34">
        <v>6</v>
      </c>
      <c r="K28" s="44">
        <v>36</v>
      </c>
      <c r="L28" s="35"/>
      <c r="M28" s="31" t="s">
        <v>82</v>
      </c>
      <c r="N28" s="31" t="s">
        <v>103</v>
      </c>
    </row>
    <row r="29" spans="1:14" x14ac:dyDescent="0.25">
      <c r="A29" s="42">
        <v>46240</v>
      </c>
      <c r="B29" s="30" t="s">
        <v>71</v>
      </c>
      <c r="C29" s="31" t="s">
        <v>129</v>
      </c>
      <c r="D29" s="45" t="s">
        <v>73</v>
      </c>
      <c r="E29" s="33" t="s">
        <v>74</v>
      </c>
      <c r="F29" s="30" t="s">
        <v>71</v>
      </c>
      <c r="G29" s="30">
        <v>10</v>
      </c>
      <c r="H29" s="30"/>
      <c r="I29" s="30"/>
      <c r="J29" s="34">
        <v>10</v>
      </c>
      <c r="K29" s="44">
        <v>100</v>
      </c>
      <c r="L29" s="35"/>
      <c r="M29" s="31" t="s">
        <v>82</v>
      </c>
      <c r="N29" s="31" t="s">
        <v>103</v>
      </c>
    </row>
    <row r="30" spans="1:14" x14ac:dyDescent="0.25">
      <c r="A30" s="42">
        <v>46241</v>
      </c>
      <c r="B30" s="30" t="s">
        <v>77</v>
      </c>
      <c r="C30" s="31" t="s">
        <v>131</v>
      </c>
      <c r="D30" s="52" t="s">
        <v>73</v>
      </c>
      <c r="E30" s="33" t="s">
        <v>74</v>
      </c>
      <c r="F30" s="30" t="s">
        <v>77</v>
      </c>
      <c r="G30" s="30">
        <v>5</v>
      </c>
      <c r="H30" s="30"/>
      <c r="I30" s="30"/>
      <c r="J30" s="34">
        <v>10</v>
      </c>
      <c r="K30" s="44">
        <v>14</v>
      </c>
      <c r="L30" s="35"/>
      <c r="M30" s="31" t="s">
        <v>130</v>
      </c>
      <c r="N30" s="31" t="s">
        <v>103</v>
      </c>
    </row>
    <row r="31" spans="1:14" x14ac:dyDescent="0.25">
      <c r="A31" s="29">
        <v>46241</v>
      </c>
      <c r="B31" s="30" t="s">
        <v>79</v>
      </c>
      <c r="C31" s="31" t="s">
        <v>132</v>
      </c>
      <c r="D31" s="32" t="s">
        <v>81</v>
      </c>
      <c r="E31" s="33" t="s">
        <v>74</v>
      </c>
      <c r="F31" s="30" t="s">
        <v>79</v>
      </c>
      <c r="G31" s="30">
        <v>3</v>
      </c>
      <c r="H31" s="30"/>
      <c r="I31" s="30">
        <v>1</v>
      </c>
      <c r="J31" s="34">
        <v>10</v>
      </c>
      <c r="K31" s="44">
        <v>30</v>
      </c>
      <c r="L31" s="35"/>
      <c r="M31" s="31" t="s">
        <v>82</v>
      </c>
      <c r="N31" s="31" t="s">
        <v>103</v>
      </c>
    </row>
    <row r="32" spans="1:14" x14ac:dyDescent="0.25">
      <c r="A32" s="29">
        <v>46241</v>
      </c>
      <c r="B32" s="30" t="s">
        <v>79</v>
      </c>
      <c r="C32" s="31" t="s">
        <v>133</v>
      </c>
      <c r="D32" s="32" t="s">
        <v>81</v>
      </c>
      <c r="E32" s="33" t="s">
        <v>74</v>
      </c>
      <c r="F32" s="30" t="s">
        <v>79</v>
      </c>
      <c r="G32" s="30">
        <v>3</v>
      </c>
      <c r="H32" s="30"/>
      <c r="I32" s="30">
        <v>1</v>
      </c>
      <c r="J32" s="53">
        <v>10</v>
      </c>
      <c r="K32" s="60">
        <v>30</v>
      </c>
      <c r="L32" s="47"/>
      <c r="M32" s="16" t="s">
        <v>115</v>
      </c>
      <c r="N32" s="31" t="s">
        <v>134</v>
      </c>
    </row>
    <row r="33" spans="1:14" x14ac:dyDescent="0.25">
      <c r="A33" s="42">
        <v>46242</v>
      </c>
      <c r="B33" s="30" t="s">
        <v>77</v>
      </c>
      <c r="C33" s="31" t="s">
        <v>101</v>
      </c>
      <c r="D33" s="32" t="s">
        <v>81</v>
      </c>
      <c r="E33" s="33" t="s">
        <v>74</v>
      </c>
      <c r="F33" s="30" t="s">
        <v>77</v>
      </c>
      <c r="G33" s="30">
        <v>5</v>
      </c>
      <c r="H33" s="30"/>
      <c r="I33" s="30"/>
      <c r="J33" s="53">
        <v>10</v>
      </c>
      <c r="K33" s="54">
        <v>50</v>
      </c>
      <c r="L33" s="35"/>
      <c r="M33" s="31" t="s">
        <v>82</v>
      </c>
      <c r="N33" s="31" t="s">
        <v>103</v>
      </c>
    </row>
    <row r="34" spans="1:14" x14ac:dyDescent="0.25">
      <c r="A34" s="29">
        <v>46242</v>
      </c>
      <c r="B34" s="30" t="s">
        <v>139</v>
      </c>
      <c r="C34" s="31" t="s">
        <v>80</v>
      </c>
      <c r="D34" s="32" t="s">
        <v>81</v>
      </c>
      <c r="E34" s="33" t="s">
        <v>74</v>
      </c>
      <c r="F34" s="30" t="s">
        <v>139</v>
      </c>
      <c r="G34" s="30">
        <v>4</v>
      </c>
      <c r="H34" s="30"/>
      <c r="I34" s="30"/>
      <c r="J34" s="53">
        <v>10</v>
      </c>
      <c r="K34" s="54">
        <v>40</v>
      </c>
      <c r="L34" s="35"/>
      <c r="M34" s="31" t="s">
        <v>82</v>
      </c>
      <c r="N34" s="31" t="s">
        <v>103</v>
      </c>
    </row>
    <row r="35" spans="1:14" x14ac:dyDescent="0.25">
      <c r="A35" s="29">
        <v>46242</v>
      </c>
      <c r="B35" s="30" t="s">
        <v>105</v>
      </c>
      <c r="C35" s="31" t="s">
        <v>80</v>
      </c>
      <c r="D35" s="45" t="s">
        <v>143</v>
      </c>
      <c r="E35" s="33" t="s">
        <v>74</v>
      </c>
      <c r="F35" s="30" t="s">
        <v>105</v>
      </c>
      <c r="G35" s="30">
        <v>2</v>
      </c>
      <c r="H35" s="30"/>
      <c r="I35" s="30"/>
      <c r="J35" s="53">
        <v>0</v>
      </c>
      <c r="K35" s="54">
        <v>0</v>
      </c>
      <c r="L35" s="35"/>
      <c r="M35" s="31" t="s">
        <v>82</v>
      </c>
      <c r="N35" s="31" t="s">
        <v>103</v>
      </c>
    </row>
    <row r="36" spans="1:14" x14ac:dyDescent="0.25">
      <c r="A36" s="42">
        <v>46244</v>
      </c>
      <c r="B36" s="30" t="s">
        <v>141</v>
      </c>
      <c r="C36" s="31" t="s">
        <v>80</v>
      </c>
      <c r="D36" s="32" t="s">
        <v>81</v>
      </c>
      <c r="E36" s="33" t="s">
        <v>74</v>
      </c>
      <c r="F36" s="30" t="s">
        <v>142</v>
      </c>
      <c r="G36" s="30">
        <v>13</v>
      </c>
      <c r="H36" s="30"/>
      <c r="I36" s="30"/>
      <c r="J36" s="53">
        <v>10</v>
      </c>
      <c r="K36" s="54">
        <v>130</v>
      </c>
      <c r="L36" s="35"/>
      <c r="M36" s="31" t="s">
        <v>82</v>
      </c>
      <c r="N36" s="31" t="s">
        <v>103</v>
      </c>
    </row>
    <row r="37" spans="1:14" x14ac:dyDescent="0.25">
      <c r="A37" s="29">
        <v>46244</v>
      </c>
      <c r="B37" s="30" t="s">
        <v>71</v>
      </c>
      <c r="C37" s="31" t="s">
        <v>72</v>
      </c>
      <c r="D37" s="31" t="s">
        <v>73</v>
      </c>
      <c r="E37" s="33" t="s">
        <v>74</v>
      </c>
      <c r="F37" s="30" t="s">
        <v>71</v>
      </c>
      <c r="G37" s="30">
        <v>10</v>
      </c>
      <c r="H37" s="30"/>
      <c r="I37" s="30"/>
      <c r="J37" s="53">
        <v>10</v>
      </c>
      <c r="K37" s="54">
        <v>50</v>
      </c>
      <c r="L37" s="35"/>
      <c r="M37" s="31"/>
      <c r="N37" s="31" t="s">
        <v>103</v>
      </c>
    </row>
    <row r="38" spans="1:14" x14ac:dyDescent="0.25">
      <c r="A38" s="29">
        <v>46244</v>
      </c>
      <c r="B38" s="30" t="s">
        <v>105</v>
      </c>
      <c r="C38" s="31" t="s">
        <v>80</v>
      </c>
      <c r="D38" s="32" t="s">
        <v>81</v>
      </c>
      <c r="E38" s="33" t="s">
        <v>74</v>
      </c>
      <c r="F38" s="30" t="s">
        <v>105</v>
      </c>
      <c r="G38" s="30">
        <v>2</v>
      </c>
      <c r="H38" s="30"/>
      <c r="I38" s="30"/>
      <c r="J38" s="34">
        <v>10</v>
      </c>
      <c r="K38" s="44">
        <v>20</v>
      </c>
      <c r="L38" s="35"/>
      <c r="M38" s="31" t="s">
        <v>76</v>
      </c>
      <c r="N38" s="31"/>
    </row>
    <row r="39" spans="1:14" x14ac:dyDescent="0.25">
      <c r="A39" s="29">
        <v>46244</v>
      </c>
      <c r="B39" s="39" t="s">
        <v>85</v>
      </c>
      <c r="C39" s="31" t="s">
        <v>80</v>
      </c>
      <c r="D39" s="31" t="s">
        <v>73</v>
      </c>
      <c r="E39" s="62" t="s">
        <v>127</v>
      </c>
      <c r="F39" s="39" t="s">
        <v>85</v>
      </c>
      <c r="G39" s="30"/>
      <c r="H39" s="30"/>
      <c r="I39" s="30">
        <v>2</v>
      </c>
      <c r="J39" s="34">
        <v>10</v>
      </c>
      <c r="K39" s="44">
        <v>20</v>
      </c>
      <c r="L39" s="35"/>
      <c r="M39" s="31" t="s">
        <v>82</v>
      </c>
      <c r="N39" s="31" t="s">
        <v>103</v>
      </c>
    </row>
    <row r="40" spans="1:14" x14ac:dyDescent="0.25">
      <c r="A40" s="42">
        <v>46245</v>
      </c>
      <c r="B40" s="30" t="s">
        <v>124</v>
      </c>
      <c r="C40" s="31" t="s">
        <v>80</v>
      </c>
      <c r="D40" s="32" t="s">
        <v>81</v>
      </c>
      <c r="E40" s="33" t="s">
        <v>74</v>
      </c>
      <c r="F40" s="30" t="s">
        <v>124</v>
      </c>
      <c r="G40" s="30">
        <v>1</v>
      </c>
      <c r="H40" s="30"/>
      <c r="I40" s="30"/>
      <c r="J40" s="34">
        <v>10</v>
      </c>
      <c r="K40" s="44">
        <v>10</v>
      </c>
      <c r="L40" s="35"/>
      <c r="M40" s="31" t="s">
        <v>82</v>
      </c>
      <c r="N40" s="31" t="s">
        <v>103</v>
      </c>
    </row>
    <row r="41" spans="1:14" x14ac:dyDescent="0.25">
      <c r="A41" s="29">
        <v>46245</v>
      </c>
      <c r="B41" s="39" t="s">
        <v>162</v>
      </c>
      <c r="C41" s="31" t="s">
        <v>163</v>
      </c>
      <c r="D41" s="45" t="s">
        <v>73</v>
      </c>
      <c r="E41" s="62" t="s">
        <v>127</v>
      </c>
      <c r="F41" s="39" t="s">
        <v>162</v>
      </c>
      <c r="G41" s="30"/>
      <c r="H41" s="30"/>
      <c r="I41" s="30">
        <v>1</v>
      </c>
      <c r="J41" s="34">
        <v>10</v>
      </c>
      <c r="K41" s="44">
        <v>10</v>
      </c>
      <c r="L41" s="35"/>
      <c r="M41" s="31" t="s">
        <v>82</v>
      </c>
      <c r="N41" s="31" t="s">
        <v>103</v>
      </c>
    </row>
    <row r="42" spans="1:14" x14ac:dyDescent="0.25">
      <c r="A42" s="29">
        <v>46245</v>
      </c>
      <c r="B42" s="30" t="s">
        <v>77</v>
      </c>
      <c r="C42" s="31" t="s">
        <v>165</v>
      </c>
      <c r="D42" s="45" t="s">
        <v>73</v>
      </c>
      <c r="E42" s="33" t="s">
        <v>74</v>
      </c>
      <c r="F42" s="30" t="s">
        <v>77</v>
      </c>
      <c r="G42" s="30">
        <v>1</v>
      </c>
      <c r="H42" s="31"/>
      <c r="I42" s="31"/>
      <c r="J42" s="34">
        <v>10</v>
      </c>
      <c r="K42" s="44">
        <v>50</v>
      </c>
      <c r="L42" s="35"/>
      <c r="M42" s="31" t="s">
        <v>82</v>
      </c>
      <c r="N42" s="31" t="s">
        <v>103</v>
      </c>
    </row>
    <row r="43" spans="1:14" x14ac:dyDescent="0.25">
      <c r="A43" s="42">
        <v>46246</v>
      </c>
      <c r="B43" s="30" t="s">
        <v>105</v>
      </c>
      <c r="C43" s="31" t="s">
        <v>167</v>
      </c>
      <c r="D43" s="32" t="s">
        <v>81</v>
      </c>
      <c r="E43" s="33" t="s">
        <v>74</v>
      </c>
      <c r="F43" s="30" t="s">
        <v>105</v>
      </c>
      <c r="G43" s="30">
        <v>2</v>
      </c>
      <c r="H43" s="31"/>
      <c r="I43" s="31"/>
      <c r="J43" s="34">
        <v>10</v>
      </c>
      <c r="K43" s="44">
        <v>20</v>
      </c>
      <c r="L43" s="35"/>
      <c r="M43" s="31" t="s">
        <v>82</v>
      </c>
      <c r="N43" s="31" t="s">
        <v>103</v>
      </c>
    </row>
    <row r="44" spans="1:14" x14ac:dyDescent="0.25">
      <c r="A44" s="29">
        <v>46246</v>
      </c>
      <c r="B44" s="30" t="s">
        <v>77</v>
      </c>
      <c r="C44" s="31" t="s">
        <v>168</v>
      </c>
      <c r="D44" s="32" t="s">
        <v>81</v>
      </c>
      <c r="E44" s="33" t="s">
        <v>74</v>
      </c>
      <c r="F44" s="30" t="s">
        <v>77</v>
      </c>
      <c r="G44" s="30">
        <v>5</v>
      </c>
      <c r="H44" s="31"/>
      <c r="I44" s="31"/>
      <c r="J44" s="34">
        <v>10</v>
      </c>
      <c r="K44" s="44">
        <v>50</v>
      </c>
      <c r="L44" s="35"/>
      <c r="M44" s="31" t="s">
        <v>82</v>
      </c>
      <c r="N44" s="31" t="s">
        <v>103</v>
      </c>
    </row>
    <row r="45" spans="1:14" x14ac:dyDescent="0.25">
      <c r="A45" s="29">
        <v>46246</v>
      </c>
      <c r="B45" s="30" t="s">
        <v>105</v>
      </c>
      <c r="C45" s="31" t="s">
        <v>169</v>
      </c>
      <c r="D45" s="32" t="s">
        <v>81</v>
      </c>
      <c r="E45" s="33" t="s">
        <v>74</v>
      </c>
      <c r="F45" s="30" t="s">
        <v>105</v>
      </c>
      <c r="G45" s="30">
        <v>2</v>
      </c>
      <c r="H45" s="31"/>
      <c r="I45" s="31"/>
      <c r="J45" s="34">
        <v>10</v>
      </c>
      <c r="K45" s="44">
        <v>20</v>
      </c>
      <c r="L45" s="35"/>
      <c r="M45" s="45" t="s">
        <v>82</v>
      </c>
      <c r="N45" s="31" t="s">
        <v>103</v>
      </c>
    </row>
    <row r="46" spans="1:14" x14ac:dyDescent="0.25">
      <c r="A46" s="29">
        <v>46246</v>
      </c>
      <c r="B46" s="30" t="s">
        <v>79</v>
      </c>
      <c r="C46" s="31" t="s">
        <v>170</v>
      </c>
      <c r="D46" s="32" t="s">
        <v>81</v>
      </c>
      <c r="E46" s="33" t="s">
        <v>74</v>
      </c>
      <c r="F46" s="30" t="s">
        <v>79</v>
      </c>
      <c r="G46" s="30">
        <v>3</v>
      </c>
      <c r="H46" s="31"/>
      <c r="I46" s="31"/>
      <c r="J46" s="34">
        <v>10</v>
      </c>
      <c r="K46" s="44">
        <v>30</v>
      </c>
      <c r="L46" s="37"/>
      <c r="M46" s="45" t="s">
        <v>82</v>
      </c>
      <c r="N46" s="31" t="s">
        <v>103</v>
      </c>
    </row>
    <row r="47" spans="1:14" x14ac:dyDescent="0.25">
      <c r="A47" s="29">
        <v>46246</v>
      </c>
      <c r="B47" s="30" t="s">
        <v>105</v>
      </c>
      <c r="C47" s="31" t="s">
        <v>171</v>
      </c>
      <c r="D47" s="32" t="s">
        <v>81</v>
      </c>
      <c r="E47" s="33" t="s">
        <v>74</v>
      </c>
      <c r="F47" s="30" t="s">
        <v>105</v>
      </c>
      <c r="G47" s="30">
        <v>2</v>
      </c>
      <c r="H47" s="31"/>
      <c r="I47" s="31"/>
      <c r="J47" s="53">
        <v>10</v>
      </c>
      <c r="K47" s="54">
        <v>20</v>
      </c>
      <c r="L47" s="37"/>
      <c r="M47" s="45" t="s">
        <v>82</v>
      </c>
      <c r="N47" s="31" t="s">
        <v>103</v>
      </c>
    </row>
    <row r="48" spans="1:14" x14ac:dyDescent="0.25">
      <c r="A48" s="29">
        <v>46246</v>
      </c>
      <c r="B48" s="30" t="s">
        <v>124</v>
      </c>
      <c r="C48" s="31" t="s">
        <v>172</v>
      </c>
      <c r="D48" s="32" t="s">
        <v>81</v>
      </c>
      <c r="E48" s="33" t="s">
        <v>74</v>
      </c>
      <c r="F48" s="30" t="s">
        <v>124</v>
      </c>
      <c r="G48" s="30">
        <v>1</v>
      </c>
      <c r="H48" s="31"/>
      <c r="I48" s="31"/>
      <c r="J48" s="34">
        <v>0</v>
      </c>
      <c r="K48" s="44">
        <v>0</v>
      </c>
      <c r="L48" s="35"/>
      <c r="M48" s="45" t="s">
        <v>82</v>
      </c>
      <c r="N48" s="31" t="s">
        <v>175</v>
      </c>
    </row>
    <row r="49" spans="1:14" x14ac:dyDescent="0.25">
      <c r="A49" s="29">
        <v>46246</v>
      </c>
      <c r="B49" s="30" t="s">
        <v>79</v>
      </c>
      <c r="C49" s="31" t="s">
        <v>173</v>
      </c>
      <c r="D49" s="32" t="s">
        <v>81</v>
      </c>
      <c r="E49" s="33" t="s">
        <v>74</v>
      </c>
      <c r="F49" s="30" t="s">
        <v>79</v>
      </c>
      <c r="G49" s="30">
        <v>3</v>
      </c>
      <c r="H49" s="31"/>
      <c r="I49" s="31"/>
      <c r="J49" s="34">
        <v>10</v>
      </c>
      <c r="K49" s="44">
        <v>30</v>
      </c>
      <c r="L49" s="35"/>
      <c r="M49" s="45" t="s">
        <v>82</v>
      </c>
      <c r="N49" s="31" t="s">
        <v>103</v>
      </c>
    </row>
    <row r="50" spans="1:14" x14ac:dyDescent="0.25">
      <c r="A50" s="29">
        <v>46246</v>
      </c>
      <c r="B50" s="30" t="s">
        <v>124</v>
      </c>
      <c r="C50" s="31" t="s">
        <v>174</v>
      </c>
      <c r="D50" s="32" t="s">
        <v>81</v>
      </c>
      <c r="E50" s="33" t="s">
        <v>74</v>
      </c>
      <c r="F50" s="30" t="s">
        <v>124</v>
      </c>
      <c r="G50" s="30">
        <v>1</v>
      </c>
      <c r="H50" s="31"/>
      <c r="I50" s="31"/>
      <c r="J50" s="34">
        <v>10</v>
      </c>
      <c r="K50" s="44">
        <v>10</v>
      </c>
      <c r="L50" s="35"/>
      <c r="M50" s="32" t="s">
        <v>82</v>
      </c>
      <c r="N50" s="31" t="s">
        <v>103</v>
      </c>
    </row>
    <row r="51" spans="1:14" x14ac:dyDescent="0.25">
      <c r="A51" s="29">
        <v>46246</v>
      </c>
      <c r="B51" s="30" t="s">
        <v>105</v>
      </c>
      <c r="C51" s="31" t="s">
        <v>80</v>
      </c>
      <c r="D51" s="32" t="s">
        <v>81</v>
      </c>
      <c r="E51" s="33" t="s">
        <v>74</v>
      </c>
      <c r="F51" s="30" t="s">
        <v>105</v>
      </c>
      <c r="G51" s="31">
        <v>2</v>
      </c>
      <c r="H51" s="31"/>
      <c r="I51" s="31"/>
      <c r="J51" s="34">
        <v>10</v>
      </c>
      <c r="K51" s="44">
        <v>20</v>
      </c>
      <c r="L51" s="35"/>
      <c r="M51" s="31" t="s">
        <v>82</v>
      </c>
      <c r="N51" s="31" t="s">
        <v>103</v>
      </c>
    </row>
    <row r="52" spans="1:14" x14ac:dyDescent="0.25">
      <c r="A52" s="29"/>
      <c r="B52" s="30"/>
      <c r="C52" s="31"/>
      <c r="D52" s="32"/>
      <c r="E52" s="33"/>
      <c r="F52" s="30"/>
      <c r="G52" s="31"/>
      <c r="H52" s="31"/>
      <c r="I52" s="31"/>
      <c r="J52" s="34"/>
      <c r="K52" s="44"/>
      <c r="L52" s="35"/>
      <c r="M52" s="31"/>
      <c r="N52" s="31"/>
    </row>
    <row r="53" spans="1:14" x14ac:dyDescent="0.25">
      <c r="A53" s="29"/>
      <c r="B53" s="30"/>
      <c r="C53" s="31"/>
      <c r="D53" s="32"/>
      <c r="E53" s="33"/>
      <c r="F53" s="30"/>
      <c r="G53" s="31"/>
      <c r="H53" s="31"/>
      <c r="I53" s="31"/>
      <c r="J53" s="34"/>
      <c r="K53" s="44"/>
      <c r="L53" s="35"/>
      <c r="M53" s="31"/>
      <c r="N53" s="31"/>
    </row>
    <row r="54" spans="1:14" x14ac:dyDescent="0.25">
      <c r="A54" s="29"/>
      <c r="B54" s="31"/>
      <c r="C54" s="31"/>
      <c r="D54" s="32"/>
      <c r="E54" s="33"/>
      <c r="F54" s="31"/>
      <c r="G54" s="31"/>
      <c r="H54" s="31"/>
      <c r="I54" s="31"/>
      <c r="J54" s="34"/>
      <c r="K54" s="44"/>
      <c r="L54" s="35"/>
      <c r="M54" s="31"/>
      <c r="N54" s="31"/>
    </row>
    <row r="55" spans="1:14" x14ac:dyDescent="0.25">
      <c r="A55" s="29"/>
      <c r="B55" s="31"/>
      <c r="C55" s="31"/>
      <c r="D55" s="32"/>
      <c r="E55" s="33"/>
      <c r="F55" s="31"/>
      <c r="G55" s="31"/>
      <c r="H55" s="31"/>
      <c r="I55" s="31"/>
      <c r="J55" s="34"/>
      <c r="K55" s="44"/>
      <c r="L55" s="35"/>
      <c r="M55" s="31"/>
      <c r="N55" s="31"/>
    </row>
    <row r="56" spans="1:14" x14ac:dyDescent="0.25">
      <c r="A56" s="29"/>
      <c r="B56" s="31"/>
      <c r="C56" s="31"/>
      <c r="D56" s="32"/>
      <c r="E56" s="33"/>
      <c r="F56" s="31"/>
      <c r="G56" s="31"/>
      <c r="H56" s="31"/>
      <c r="I56" s="31"/>
      <c r="J56" s="34"/>
      <c r="K56" s="44"/>
      <c r="L56" s="35"/>
      <c r="M56" s="31"/>
      <c r="N56" s="31"/>
    </row>
    <row r="57" spans="1:14" x14ac:dyDescent="0.25">
      <c r="A57" s="29"/>
      <c r="B57" s="31"/>
      <c r="C57" s="31"/>
      <c r="D57" s="32"/>
      <c r="E57" s="33"/>
      <c r="F57" s="31"/>
      <c r="G57" s="31"/>
      <c r="H57" s="31"/>
      <c r="I57" s="31"/>
      <c r="J57" s="34"/>
      <c r="K57" s="44"/>
      <c r="L57" s="35"/>
      <c r="M57" s="31"/>
      <c r="N57" s="31"/>
    </row>
    <row r="58" spans="1:14" x14ac:dyDescent="0.25">
      <c r="A58" s="29"/>
      <c r="B58" s="31"/>
      <c r="C58" s="31"/>
      <c r="D58" s="31"/>
      <c r="E58" s="31"/>
      <c r="F58" s="31"/>
      <c r="G58" s="31"/>
      <c r="H58" s="31"/>
      <c r="I58" s="31"/>
      <c r="J58" s="34"/>
      <c r="K58" s="44"/>
      <c r="L58" s="35"/>
      <c r="M58" s="31"/>
      <c r="N58" s="31"/>
    </row>
    <row r="59" spans="1:14" x14ac:dyDescent="0.25">
      <c r="A59" s="29"/>
      <c r="B59" s="31"/>
      <c r="C59" s="31"/>
      <c r="D59" s="31"/>
      <c r="E59" s="31"/>
      <c r="F59" s="31"/>
      <c r="G59" s="31"/>
      <c r="H59" s="31"/>
      <c r="I59" s="31"/>
      <c r="J59" s="34"/>
      <c r="K59" s="44"/>
      <c r="L59" s="35"/>
      <c r="M59" s="31"/>
      <c r="N59" s="31"/>
    </row>
    <row r="61" spans="1:14" x14ac:dyDescent="0.25">
      <c r="G61" s="48">
        <f>SUM(G2:G59)</f>
        <v>217</v>
      </c>
      <c r="H61" s="49">
        <f>SUM(H2:H59)</f>
        <v>9</v>
      </c>
      <c r="I61" s="50">
        <f>SUM(I2:I59)</f>
        <v>19</v>
      </c>
      <c r="K61" s="28">
        <f>SUM(K2:K59)</f>
        <v>2075</v>
      </c>
      <c r="L61" s="27"/>
    </row>
  </sheetData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2"/>
  <sheetViews>
    <sheetView workbookViewId="0">
      <selection activeCell="L18" sqref="L18"/>
    </sheetView>
  </sheetViews>
  <sheetFormatPr baseColWidth="10" defaultRowHeight="15" x14ac:dyDescent="0.25"/>
  <cols>
    <col min="4" max="4" width="7.5703125" customWidth="1"/>
    <col min="5" max="6" width="17.5703125" customWidth="1"/>
    <col min="8" max="8" width="9.5703125" customWidth="1"/>
    <col min="9" max="11" width="6.42578125" customWidth="1"/>
    <col min="13" max="13" width="13.85546875" customWidth="1"/>
    <col min="14" max="14" width="15.85546875" customWidth="1"/>
    <col min="16" max="16" width="13.85546875" customWidth="1"/>
  </cols>
  <sheetData>
    <row r="1" spans="3:16" x14ac:dyDescent="0.25">
      <c r="C1" s="66" t="s">
        <v>89</v>
      </c>
      <c r="D1" s="66"/>
      <c r="E1" s="66"/>
      <c r="F1" s="66"/>
      <c r="G1" s="66"/>
      <c r="H1" s="67" t="s">
        <v>67</v>
      </c>
      <c r="I1" s="67"/>
      <c r="J1" s="67"/>
      <c r="K1" s="68" t="s">
        <v>87</v>
      </c>
      <c r="L1" s="68"/>
    </row>
    <row r="2" spans="3:16" ht="18.75" x14ac:dyDescent="0.3">
      <c r="C2" s="66"/>
      <c r="D2" s="66"/>
      <c r="E2" s="66"/>
      <c r="F2" s="66"/>
      <c r="G2" s="66"/>
      <c r="H2" s="40">
        <v>263</v>
      </c>
      <c r="I2" s="40" t="s">
        <v>68</v>
      </c>
      <c r="J2" s="40" t="s">
        <v>69</v>
      </c>
      <c r="K2" s="69" t="s">
        <v>88</v>
      </c>
      <c r="L2" s="69"/>
    </row>
    <row r="3" spans="3:16" x14ac:dyDescent="0.25">
      <c r="C3" s="24" t="s">
        <v>20</v>
      </c>
      <c r="D3" s="24" t="s">
        <v>32</v>
      </c>
      <c r="E3" s="24" t="s">
        <v>33</v>
      </c>
      <c r="F3" s="24" t="s">
        <v>34</v>
      </c>
      <c r="G3" s="24" t="s">
        <v>6</v>
      </c>
      <c r="H3" s="24" t="s">
        <v>23</v>
      </c>
      <c r="I3" s="24" t="s">
        <v>57</v>
      </c>
      <c r="J3" s="24" t="s">
        <v>58</v>
      </c>
      <c r="K3" s="24" t="s">
        <v>59</v>
      </c>
      <c r="L3" s="25" t="s">
        <v>35</v>
      </c>
      <c r="M3" s="24" t="s">
        <v>65</v>
      </c>
      <c r="N3" s="24" t="s">
        <v>66</v>
      </c>
      <c r="O3" s="24" t="s">
        <v>12</v>
      </c>
      <c r="P3" s="24" t="s">
        <v>36</v>
      </c>
    </row>
    <row r="4" spans="3:16" x14ac:dyDescent="0.25">
      <c r="C4" s="4"/>
      <c r="D4" s="6"/>
      <c r="E4" s="7"/>
      <c r="F4" s="5"/>
      <c r="G4" s="9"/>
      <c r="H4" s="6"/>
      <c r="I4" s="6"/>
      <c r="J4" s="6"/>
      <c r="K4" s="6"/>
      <c r="L4" s="10">
        <v>0</v>
      </c>
      <c r="M4" s="12">
        <v>0</v>
      </c>
      <c r="N4" s="12"/>
      <c r="O4" s="7"/>
      <c r="P4" s="7"/>
    </row>
    <row r="5" spans="3:16" x14ac:dyDescent="0.25">
      <c r="C5" s="4"/>
      <c r="D5" s="6"/>
      <c r="E5" s="7"/>
      <c r="F5" s="5"/>
      <c r="G5" s="9"/>
      <c r="H5" s="6"/>
      <c r="I5" s="6"/>
      <c r="J5" s="6"/>
      <c r="K5" s="6"/>
      <c r="L5" s="10">
        <v>0</v>
      </c>
      <c r="M5" s="12">
        <v>0</v>
      </c>
      <c r="N5" s="12"/>
      <c r="O5" s="7"/>
      <c r="P5" s="7"/>
    </row>
    <row r="6" spans="3:16" x14ac:dyDescent="0.25">
      <c r="C6" s="4"/>
      <c r="D6" s="6"/>
      <c r="E6" s="7"/>
      <c r="F6" s="7"/>
      <c r="G6" s="9"/>
      <c r="H6" s="6"/>
      <c r="I6" s="6"/>
      <c r="J6" s="6"/>
      <c r="K6" s="6"/>
      <c r="L6" s="10">
        <v>0</v>
      </c>
      <c r="M6" s="12">
        <v>0</v>
      </c>
      <c r="N6" s="12"/>
      <c r="O6" s="7"/>
      <c r="P6" s="7"/>
    </row>
    <row r="7" spans="3:16" x14ac:dyDescent="0.25">
      <c r="C7" s="4"/>
      <c r="D7" s="6"/>
      <c r="E7" s="7"/>
      <c r="F7" s="7"/>
      <c r="G7" s="9"/>
      <c r="H7" s="6"/>
      <c r="I7" s="6"/>
      <c r="J7" s="6"/>
      <c r="K7" s="6"/>
      <c r="L7" s="10">
        <v>0</v>
      </c>
      <c r="M7" s="12">
        <v>0</v>
      </c>
      <c r="N7" s="12"/>
      <c r="O7" s="7"/>
      <c r="P7" s="7"/>
    </row>
    <row r="8" spans="3:16" x14ac:dyDescent="0.25">
      <c r="C8" s="4"/>
      <c r="D8" s="6"/>
      <c r="E8" s="7"/>
      <c r="F8" s="7"/>
      <c r="G8" s="9"/>
      <c r="H8" s="6"/>
      <c r="I8" s="6"/>
      <c r="J8" s="6"/>
      <c r="K8" s="6"/>
      <c r="L8" s="10">
        <v>0</v>
      </c>
      <c r="M8" s="12">
        <v>0</v>
      </c>
      <c r="N8" s="12"/>
      <c r="O8" s="7"/>
      <c r="P8" s="7"/>
    </row>
    <row r="9" spans="3:16" x14ac:dyDescent="0.25">
      <c r="C9" s="4"/>
      <c r="D9" s="6"/>
      <c r="E9" s="7"/>
      <c r="F9" s="7"/>
      <c r="G9" s="9"/>
      <c r="H9" s="6"/>
      <c r="I9" s="6"/>
      <c r="J9" s="6"/>
      <c r="K9" s="6"/>
      <c r="L9" s="10">
        <v>0</v>
      </c>
      <c r="M9" s="12">
        <v>0</v>
      </c>
      <c r="N9" s="12"/>
      <c r="O9" s="7"/>
      <c r="P9" s="7"/>
    </row>
    <row r="10" spans="3:16" x14ac:dyDescent="0.25">
      <c r="C10" s="4"/>
      <c r="D10" s="7"/>
      <c r="E10" s="7"/>
      <c r="F10" s="7"/>
      <c r="G10" s="7"/>
      <c r="H10" s="7"/>
      <c r="I10" s="7"/>
      <c r="J10" s="7"/>
      <c r="K10" s="7"/>
      <c r="L10" s="10">
        <v>0</v>
      </c>
      <c r="M10" s="12">
        <v>0</v>
      </c>
      <c r="N10" s="12"/>
      <c r="O10" s="7"/>
      <c r="P10" s="7"/>
    </row>
    <row r="11" spans="3:16" x14ac:dyDescent="0.25">
      <c r="C11" s="4"/>
      <c r="D11" s="7"/>
      <c r="E11" s="7"/>
      <c r="F11" s="7"/>
      <c r="G11" s="7"/>
      <c r="H11" s="7"/>
      <c r="I11" s="7"/>
      <c r="J11" s="7"/>
      <c r="K11" s="7"/>
      <c r="L11" s="10">
        <v>0</v>
      </c>
      <c r="M11" s="12">
        <v>0</v>
      </c>
      <c r="N11" s="12"/>
      <c r="O11" s="7"/>
      <c r="P11" s="7"/>
    </row>
    <row r="12" spans="3:16" x14ac:dyDescent="0.25">
      <c r="C12" s="4"/>
      <c r="D12" s="7"/>
      <c r="E12" s="7"/>
      <c r="F12" s="7"/>
      <c r="G12" s="7"/>
      <c r="H12" s="7"/>
      <c r="I12" s="7"/>
      <c r="J12" s="7"/>
      <c r="K12" s="7"/>
      <c r="L12" s="10">
        <v>0</v>
      </c>
      <c r="M12" s="12">
        <v>0</v>
      </c>
      <c r="N12" s="12"/>
      <c r="O12" s="7"/>
      <c r="P12" s="7"/>
    </row>
  </sheetData>
  <mergeCells count="4">
    <mergeCell ref="C1:G2"/>
    <mergeCell ref="H1:J1"/>
    <mergeCell ref="K1:L1"/>
    <mergeCell ref="K2:L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9.5703125" customWidth="1"/>
    <col min="2" max="3" width="11.7109375" customWidth="1"/>
    <col min="4" max="4" width="20" customWidth="1"/>
    <col min="5" max="5" width="7.7109375" customWidth="1"/>
    <col min="6" max="6" width="9" customWidth="1"/>
    <col min="7" max="8" width="17.85546875" customWidth="1"/>
    <col min="9" max="11" width="15.5703125" customWidth="1"/>
  </cols>
  <sheetData>
    <row r="1" spans="1:11" x14ac:dyDescent="0.25">
      <c r="A1" s="2" t="s">
        <v>37</v>
      </c>
      <c r="B1" s="11" t="s">
        <v>56</v>
      </c>
      <c r="C1" s="11" t="s">
        <v>55</v>
      </c>
      <c r="D1" s="2" t="s">
        <v>34</v>
      </c>
      <c r="E1" s="2" t="s">
        <v>38</v>
      </c>
      <c r="F1" s="11" t="s">
        <v>54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 x14ac:dyDescent="0.25">
      <c r="A2" s="3" t="s">
        <v>113</v>
      </c>
      <c r="B2" s="4">
        <v>46235</v>
      </c>
      <c r="C2" s="4">
        <v>46239</v>
      </c>
      <c r="D2" s="32" t="s">
        <v>81</v>
      </c>
      <c r="E2" s="14">
        <v>67</v>
      </c>
      <c r="F2" s="6"/>
      <c r="G2" s="7"/>
      <c r="H2" s="7"/>
      <c r="I2" s="7"/>
      <c r="J2" s="7">
        <v>180</v>
      </c>
      <c r="K2" s="7"/>
    </row>
    <row r="3" spans="1:11" x14ac:dyDescent="0.25">
      <c r="A3" s="3" t="s">
        <v>113</v>
      </c>
      <c r="B3" s="4">
        <v>46235</v>
      </c>
      <c r="C3" s="4"/>
      <c r="D3" s="13"/>
      <c r="E3" s="14"/>
      <c r="F3" s="6"/>
      <c r="G3" s="7"/>
      <c r="H3" s="7"/>
      <c r="I3" s="7"/>
      <c r="J3" s="7"/>
      <c r="K3" s="7"/>
    </row>
    <row r="4" spans="1:11" x14ac:dyDescent="0.25">
      <c r="A4" s="3"/>
      <c r="B4" s="4"/>
      <c r="C4" s="4"/>
      <c r="D4" s="7"/>
      <c r="E4" s="14"/>
      <c r="F4" s="6"/>
      <c r="G4" s="7"/>
      <c r="H4" s="7"/>
      <c r="I4" s="7"/>
      <c r="J4" s="7"/>
      <c r="K4" s="7"/>
    </row>
    <row r="5" spans="1:11" x14ac:dyDescent="0.25">
      <c r="A5" s="3"/>
      <c r="B5" s="4"/>
      <c r="C5" s="4"/>
      <c r="D5" s="7"/>
      <c r="E5" s="14"/>
      <c r="F5" s="6"/>
      <c r="G5" s="7"/>
      <c r="H5" s="7"/>
      <c r="I5" s="7"/>
      <c r="J5" s="7"/>
      <c r="K5" s="7"/>
    </row>
    <row r="6" spans="1:11" x14ac:dyDescent="0.25">
      <c r="A6" s="3"/>
      <c r="B6" s="4"/>
      <c r="C6" s="4"/>
      <c r="D6" s="7"/>
      <c r="E6" s="15"/>
      <c r="F6" s="7"/>
      <c r="G6" s="7"/>
      <c r="H6" s="7"/>
      <c r="I6" s="7"/>
      <c r="J6" s="7"/>
      <c r="K6" s="7"/>
    </row>
    <row r="7" spans="1:11" x14ac:dyDescent="0.25">
      <c r="A7" s="3"/>
      <c r="B7" s="4"/>
      <c r="C7" s="4"/>
      <c r="D7" s="7"/>
      <c r="E7" s="15"/>
      <c r="F7" s="7"/>
      <c r="G7" s="7"/>
      <c r="H7" s="7"/>
      <c r="I7" s="7"/>
      <c r="J7" s="7"/>
      <c r="K7" s="7"/>
    </row>
    <row r="8" spans="1:11" x14ac:dyDescent="0.25">
      <c r="A8" s="3"/>
      <c r="B8" s="4"/>
      <c r="C8" s="4"/>
      <c r="D8" s="7"/>
      <c r="E8" s="15"/>
      <c r="F8" s="7"/>
      <c r="G8" s="7"/>
      <c r="H8" s="7"/>
      <c r="I8" s="7"/>
      <c r="J8" s="7"/>
      <c r="K8" s="7"/>
    </row>
    <row r="9" spans="1:11" x14ac:dyDescent="0.25">
      <c r="A9" s="3"/>
      <c r="B9" s="4"/>
      <c r="C9" s="4"/>
      <c r="D9" s="7"/>
      <c r="E9" s="15"/>
      <c r="F9" s="7"/>
      <c r="G9" s="7"/>
      <c r="H9" s="7"/>
      <c r="I9" s="7"/>
      <c r="J9" s="7"/>
      <c r="K9" s="7"/>
    </row>
    <row r="10" spans="1:11" x14ac:dyDescent="0.25">
      <c r="A10" s="3"/>
      <c r="B10" s="4"/>
      <c r="C10" s="4"/>
      <c r="D10" s="7"/>
      <c r="E10" s="15"/>
      <c r="F10" s="7"/>
      <c r="G10" s="7"/>
      <c r="H10" s="7"/>
      <c r="I10" s="7"/>
      <c r="J10" s="7"/>
      <c r="K10" s="7"/>
    </row>
    <row r="11" spans="1:11" x14ac:dyDescent="0.25">
      <c r="A11" s="3"/>
      <c r="B11" s="4"/>
      <c r="C11" s="4"/>
      <c r="D11" s="7"/>
      <c r="E11" s="15"/>
      <c r="F11" s="7"/>
      <c r="G11" s="7"/>
      <c r="H11" s="7"/>
      <c r="I11" s="7"/>
      <c r="J11" s="7"/>
      <c r="K11" s="7"/>
    </row>
    <row r="12" spans="1:11" x14ac:dyDescent="0.25">
      <c r="A12" s="3"/>
      <c r="B12" s="4"/>
      <c r="C12" s="4"/>
      <c r="D12" s="7"/>
      <c r="E12" s="15"/>
      <c r="F12" s="7"/>
      <c r="G12" s="7"/>
      <c r="H12" s="7"/>
      <c r="I12" s="7"/>
      <c r="J12" s="7"/>
      <c r="K12" s="7"/>
    </row>
    <row r="13" spans="1:11" x14ac:dyDescent="0.25">
      <c r="A13" s="3"/>
      <c r="B13" s="4"/>
      <c r="C13" s="4"/>
      <c r="D13" s="7"/>
      <c r="E13" s="15"/>
      <c r="F13" s="7"/>
      <c r="G13" s="7"/>
      <c r="H13" s="7"/>
      <c r="I13" s="7"/>
      <c r="J13" s="7"/>
      <c r="K13" s="7"/>
    </row>
    <row r="14" spans="1:11" x14ac:dyDescent="0.25">
      <c r="A14" s="3"/>
      <c r="B14" s="4"/>
      <c r="C14" s="4"/>
      <c r="D14" s="7"/>
      <c r="E14" s="15"/>
      <c r="F14" s="7"/>
      <c r="G14" s="7"/>
      <c r="H14" s="7"/>
      <c r="I14" s="7"/>
      <c r="J14" s="7"/>
      <c r="K14" s="7"/>
    </row>
    <row r="15" spans="1:11" x14ac:dyDescent="0.25">
      <c r="A15" s="3"/>
      <c r="B15" s="4"/>
      <c r="C15" s="4"/>
      <c r="D15" s="7"/>
      <c r="E15" s="15"/>
      <c r="F15" s="7"/>
      <c r="G15" s="7"/>
      <c r="H15" s="7"/>
      <c r="I15" s="7"/>
      <c r="J15" s="7"/>
      <c r="K15" s="7"/>
    </row>
    <row r="16" spans="1:11" x14ac:dyDescent="0.25">
      <c r="A16" s="3"/>
      <c r="B16" s="4"/>
      <c r="C16" s="4"/>
      <c r="D16" s="7"/>
      <c r="E16" s="15"/>
      <c r="F16" s="7"/>
      <c r="G16" s="7"/>
      <c r="H16" s="7"/>
      <c r="I16" s="7"/>
      <c r="J16" s="7"/>
      <c r="K16" s="7"/>
    </row>
    <row r="17" spans="1:11" x14ac:dyDescent="0.25">
      <c r="A17" s="3"/>
      <c r="B17" s="4"/>
      <c r="C17" s="4"/>
      <c r="D17" s="7"/>
      <c r="E17" s="15"/>
      <c r="F17" s="7"/>
      <c r="G17" s="7"/>
      <c r="H17" s="7"/>
      <c r="I17" s="7"/>
      <c r="J17" s="7"/>
      <c r="K17" s="7"/>
    </row>
    <row r="18" spans="1:11" x14ac:dyDescent="0.25">
      <c r="A18" s="3"/>
      <c r="B18" s="7"/>
      <c r="C18" s="7"/>
      <c r="D18" s="7"/>
      <c r="E18" s="15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15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15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15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15"/>
      <c r="F22" s="7"/>
      <c r="G22" s="7"/>
      <c r="H22" s="7"/>
      <c r="I22" s="7"/>
      <c r="J22" s="7"/>
      <c r="K22" s="7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6" sqref="C6"/>
    </sheetView>
  </sheetViews>
  <sheetFormatPr baseColWidth="10" defaultColWidth="9.140625" defaultRowHeight="15" x14ac:dyDescent="0.25"/>
  <cols>
    <col min="1" max="3" width="18" customWidth="1"/>
  </cols>
  <sheetData>
    <row r="1" spans="1:3" x14ac:dyDescent="0.25">
      <c r="A1" s="2" t="s">
        <v>44</v>
      </c>
      <c r="B1" s="2" t="s">
        <v>45</v>
      </c>
      <c r="C1" s="2" t="s">
        <v>46</v>
      </c>
    </row>
    <row r="2" spans="1:3" x14ac:dyDescent="0.25">
      <c r="A2" s="5"/>
      <c r="B2" s="7"/>
      <c r="C2" s="7"/>
    </row>
    <row r="3" spans="1:3" x14ac:dyDescent="0.25">
      <c r="A3" s="7"/>
      <c r="B3" s="7"/>
      <c r="C3" s="7"/>
    </row>
    <row r="4" spans="1:3" x14ac:dyDescent="0.25">
      <c r="A4" s="7"/>
      <c r="B4" s="7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8" spans="1:3" x14ac:dyDescent="0.25">
      <c r="A8" s="7"/>
      <c r="B8" s="7"/>
      <c r="C8" s="7"/>
    </row>
    <row r="9" spans="1:3" x14ac:dyDescent="0.25">
      <c r="A9" s="7"/>
      <c r="B9" s="7"/>
      <c r="C9" s="7"/>
    </row>
    <row r="10" spans="1:3" x14ac:dyDescent="0.25">
      <c r="A10" s="7"/>
      <c r="B10" s="7"/>
      <c r="C10" s="7"/>
    </row>
    <row r="11" spans="1:3" x14ac:dyDescent="0.25">
      <c r="A11" s="7"/>
      <c r="B11" s="7"/>
      <c r="C11" s="7"/>
    </row>
    <row r="12" spans="1:3" x14ac:dyDescent="0.25">
      <c r="A12" s="7"/>
      <c r="B12" s="7"/>
      <c r="C12" s="7"/>
    </row>
    <row r="13" spans="1:3" x14ac:dyDescent="0.25">
      <c r="A13" s="7"/>
      <c r="B13" s="7"/>
      <c r="C13" s="7"/>
    </row>
    <row r="14" spans="1:3" x14ac:dyDescent="0.25">
      <c r="A14" s="7"/>
      <c r="B14" s="7"/>
      <c r="C14" s="7"/>
    </row>
    <row r="15" spans="1:3" x14ac:dyDescent="0.25">
      <c r="A15" s="7"/>
      <c r="B15" s="7"/>
      <c r="C15" s="7"/>
    </row>
    <row r="16" spans="1:3" x14ac:dyDescent="0.25">
      <c r="A16" s="7"/>
      <c r="B16" s="7"/>
      <c r="C16" s="7"/>
    </row>
    <row r="17" spans="1:3" x14ac:dyDescent="0.25">
      <c r="A17" s="7"/>
      <c r="B17" s="7"/>
      <c r="C17" s="7"/>
    </row>
    <row r="18" spans="1:3" x14ac:dyDescent="0.25">
      <c r="A18" s="7"/>
      <c r="B18" s="7"/>
      <c r="C18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PRODUCTOS_STOCK</vt:lpstr>
      <vt:lpstr>MOVIMIENTOS</vt:lpstr>
      <vt:lpstr>CLIENTES</vt:lpstr>
      <vt:lpstr>VENTAS</vt:lpstr>
      <vt:lpstr>VENTAS X UNID</vt:lpstr>
      <vt:lpstr>CONTROL_VENDEDORES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EMANA CHYO</cp:lastModifiedBy>
  <dcterms:created xsi:type="dcterms:W3CDTF">2026-07-17T15:53:11Z</dcterms:created>
  <dcterms:modified xsi:type="dcterms:W3CDTF">2026-08-12T22:32:15Z</dcterms:modified>
</cp:coreProperties>
</file>